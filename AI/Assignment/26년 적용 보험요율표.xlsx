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여신채권\2. 권유경SS\26년 보험요율\"/>
    </mc:Choice>
  </mc:AlternateContent>
  <xr:revisionPtr revIDLastSave="0" documentId="13_ncr:1_{EB17B656-563E-4CCC-818E-40B33497C4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기본요율" sheetId="1" r:id="rId1"/>
    <sheet name="개별보험요율" sheetId="3" r:id="rId2"/>
    <sheet name="당사vsMaker" sheetId="2" state="hidden" r:id="rId3"/>
  </sheets>
  <definedNames>
    <definedName name="_xlnm.Print_Area" localSheetId="2">당사vsMaker!$A$1:$Z$20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5" i="1" l="1"/>
  <c r="Z25" i="1"/>
  <c r="Y25" i="1"/>
  <c r="X25" i="1"/>
  <c r="V25" i="1"/>
  <c r="U25" i="1"/>
  <c r="T25" i="1"/>
  <c r="Z24" i="1"/>
  <c r="Y24" i="1"/>
  <c r="X24" i="1"/>
  <c r="W24" i="1"/>
  <c r="V24" i="1"/>
  <c r="U24" i="1"/>
  <c r="T24" i="1"/>
  <c r="Z23" i="1"/>
  <c r="Y23" i="1"/>
  <c r="X23" i="1"/>
  <c r="W23" i="1"/>
  <c r="V23" i="1"/>
  <c r="U23" i="1"/>
  <c r="T23" i="1"/>
  <c r="Z22" i="1"/>
  <c r="Y22" i="1"/>
  <c r="X22" i="1"/>
  <c r="W22" i="1"/>
  <c r="V22" i="1"/>
  <c r="U22" i="1"/>
  <c r="T22" i="1"/>
  <c r="Z21" i="1"/>
  <c r="Y21" i="1"/>
  <c r="X21" i="1"/>
  <c r="W21" i="1"/>
  <c r="V21" i="1"/>
  <c r="U21" i="1"/>
  <c r="T21" i="1"/>
  <c r="Z20" i="1"/>
  <c r="Y20" i="1"/>
  <c r="X20" i="1"/>
  <c r="W20" i="1"/>
  <c r="V20" i="1"/>
  <c r="U20" i="1"/>
  <c r="T20" i="1"/>
  <c r="T18" i="1"/>
  <c r="T17" i="1"/>
  <c r="T16" i="1"/>
  <c r="T15" i="1"/>
  <c r="T14" i="1"/>
  <c r="Z18" i="1"/>
  <c r="Y18" i="1"/>
  <c r="X18" i="1"/>
  <c r="W18" i="1"/>
  <c r="V18" i="1"/>
  <c r="U18" i="1"/>
  <c r="Z17" i="1"/>
  <c r="Y17" i="1"/>
  <c r="X17" i="1"/>
  <c r="W17" i="1"/>
  <c r="V17" i="1"/>
  <c r="U17" i="1"/>
  <c r="Z16" i="1"/>
  <c r="Y16" i="1"/>
  <c r="X16" i="1"/>
  <c r="W16" i="1"/>
  <c r="V16" i="1"/>
  <c r="U16" i="1"/>
  <c r="Z15" i="1"/>
  <c r="Y15" i="1"/>
  <c r="X15" i="1"/>
  <c r="W15" i="1"/>
  <c r="V15" i="1"/>
  <c r="U15" i="1"/>
  <c r="Z14" i="1"/>
  <c r="Y14" i="1"/>
  <c r="X14" i="1"/>
  <c r="W14" i="1"/>
  <c r="V14" i="1"/>
  <c r="U14" i="1"/>
  <c r="Z13" i="1"/>
  <c r="Y13" i="1"/>
  <c r="X13" i="1"/>
  <c r="W13" i="1"/>
  <c r="V13" i="1"/>
  <c r="U13" i="1"/>
  <c r="T13" i="1"/>
  <c r="S25" i="1"/>
  <c r="R25" i="1"/>
  <c r="Q25" i="1"/>
  <c r="P25" i="1"/>
  <c r="O25" i="1"/>
  <c r="N25" i="1"/>
  <c r="M25" i="1"/>
  <c r="S24" i="1"/>
  <c r="R24" i="1"/>
  <c r="Q24" i="1"/>
  <c r="P24" i="1"/>
  <c r="O24" i="1"/>
  <c r="N24" i="1"/>
  <c r="M24" i="1"/>
  <c r="S23" i="1"/>
  <c r="R23" i="1"/>
  <c r="Q23" i="1"/>
  <c r="P23" i="1"/>
  <c r="O23" i="1"/>
  <c r="N23" i="1"/>
  <c r="M23" i="1"/>
  <c r="S22" i="1"/>
  <c r="R22" i="1"/>
  <c r="Q22" i="1"/>
  <c r="P22" i="1"/>
  <c r="O22" i="1"/>
  <c r="N22" i="1"/>
  <c r="M22" i="1"/>
  <c r="S21" i="1"/>
  <c r="R21" i="1"/>
  <c r="Q21" i="1"/>
  <c r="P21" i="1"/>
  <c r="O21" i="1"/>
  <c r="N21" i="1"/>
  <c r="M21" i="1"/>
  <c r="S20" i="1"/>
  <c r="R20" i="1"/>
  <c r="Q20" i="1"/>
  <c r="P20" i="1"/>
  <c r="O20" i="1"/>
  <c r="N20" i="1"/>
  <c r="M20" i="1"/>
  <c r="S14" i="1"/>
  <c r="S18" i="1"/>
  <c r="R18" i="1"/>
  <c r="Q18" i="1"/>
  <c r="P18" i="1"/>
  <c r="O18" i="1"/>
  <c r="N18" i="1"/>
  <c r="M18" i="1"/>
  <c r="S17" i="1"/>
  <c r="R17" i="1"/>
  <c r="Q17" i="1"/>
  <c r="P17" i="1"/>
  <c r="O17" i="1"/>
  <c r="N17" i="1"/>
  <c r="M17" i="1"/>
  <c r="S16" i="1"/>
  <c r="R16" i="1"/>
  <c r="Q16" i="1"/>
  <c r="P16" i="1"/>
  <c r="O16" i="1"/>
  <c r="N16" i="1"/>
  <c r="M16" i="1"/>
  <c r="S15" i="1"/>
  <c r="R15" i="1"/>
  <c r="Q15" i="1"/>
  <c r="P15" i="1"/>
  <c r="O15" i="1"/>
  <c r="N15" i="1"/>
  <c r="M15" i="1"/>
  <c r="R14" i="1"/>
  <c r="Q14" i="1"/>
  <c r="P14" i="1"/>
  <c r="O14" i="1"/>
  <c r="N14" i="1"/>
  <c r="M14" i="1"/>
  <c r="S13" i="1"/>
  <c r="R13" i="1"/>
  <c r="Q13" i="1"/>
  <c r="P13" i="1"/>
  <c r="O13" i="1"/>
  <c r="N13" i="1"/>
  <c r="M13" i="1"/>
  <c r="N8" i="2"/>
  <c r="AB8" i="2"/>
  <c r="P8" i="2"/>
  <c r="AD8" i="2"/>
  <c r="R8" i="2"/>
  <c r="AF8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S20" i="2"/>
  <c r="AG20" i="2"/>
  <c r="R20" i="2"/>
  <c r="AF20" i="2"/>
  <c r="Q20" i="2"/>
  <c r="AE20" i="2"/>
  <c r="P20" i="2"/>
  <c r="AD20" i="2"/>
  <c r="O20" i="2"/>
  <c r="AC20" i="2"/>
  <c r="N20" i="2"/>
  <c r="AB20" i="2"/>
  <c r="M20" i="2"/>
  <c r="AA20" i="2"/>
  <c r="S19" i="2"/>
  <c r="AG19" i="2"/>
  <c r="R19" i="2"/>
  <c r="AF19" i="2"/>
  <c r="Q19" i="2"/>
  <c r="AE19" i="2"/>
  <c r="P19" i="2"/>
  <c r="AD19" i="2"/>
  <c r="O19" i="2"/>
  <c r="AC19" i="2"/>
  <c r="N19" i="2"/>
  <c r="AB19" i="2"/>
  <c r="M19" i="2"/>
  <c r="AA19" i="2"/>
  <c r="S18" i="2"/>
  <c r="AG18" i="2"/>
  <c r="R18" i="2"/>
  <c r="AF18" i="2"/>
  <c r="Q18" i="2"/>
  <c r="AE18" i="2"/>
  <c r="P18" i="2"/>
  <c r="AD18" i="2"/>
  <c r="O18" i="2"/>
  <c r="AC18" i="2"/>
  <c r="N18" i="2"/>
  <c r="AB18" i="2"/>
  <c r="M18" i="2"/>
  <c r="AA18" i="2"/>
  <c r="S17" i="2"/>
  <c r="AG17" i="2"/>
  <c r="R17" i="2"/>
  <c r="AF17" i="2"/>
  <c r="Q17" i="2"/>
  <c r="AE17" i="2"/>
  <c r="P17" i="2"/>
  <c r="AD17" i="2"/>
  <c r="O17" i="2"/>
  <c r="AC17" i="2"/>
  <c r="N17" i="2"/>
  <c r="AB17" i="2"/>
  <c r="M17" i="2"/>
  <c r="AA17" i="2"/>
  <c r="S16" i="2"/>
  <c r="AG16" i="2"/>
  <c r="R16" i="2"/>
  <c r="AF16" i="2"/>
  <c r="Q16" i="2"/>
  <c r="AE16" i="2"/>
  <c r="P16" i="2"/>
  <c r="AD16" i="2"/>
  <c r="O16" i="2"/>
  <c r="AC16" i="2"/>
  <c r="N16" i="2"/>
  <c r="AB16" i="2"/>
  <c r="M16" i="2"/>
  <c r="AA16" i="2"/>
  <c r="V15" i="2"/>
  <c r="O15" i="2"/>
  <c r="AC15" i="2"/>
  <c r="U15" i="2"/>
  <c r="N15" i="2"/>
  <c r="AB15" i="2"/>
  <c r="S15" i="2"/>
  <c r="AG15" i="2"/>
  <c r="R15" i="2"/>
  <c r="AF15" i="2"/>
  <c r="Q15" i="2"/>
  <c r="AE15" i="2"/>
  <c r="P15" i="2"/>
  <c r="AD15" i="2"/>
  <c r="M15" i="2"/>
  <c r="AA15" i="2"/>
  <c r="S13" i="2"/>
  <c r="AG13" i="2"/>
  <c r="R13" i="2"/>
  <c r="AF13" i="2"/>
  <c r="Q13" i="2"/>
  <c r="AE13" i="2"/>
  <c r="P13" i="2"/>
  <c r="AD13" i="2"/>
  <c r="O13" i="2"/>
  <c r="AC13" i="2"/>
  <c r="N13" i="2"/>
  <c r="AB13" i="2"/>
  <c r="M13" i="2"/>
  <c r="AA13" i="2"/>
  <c r="S12" i="2"/>
  <c r="AG12" i="2"/>
  <c r="R12" i="2"/>
  <c r="AF12" i="2"/>
  <c r="Q12" i="2"/>
  <c r="AE12" i="2"/>
  <c r="P12" i="2"/>
  <c r="AD12" i="2"/>
  <c r="O12" i="2"/>
  <c r="AC12" i="2"/>
  <c r="N12" i="2"/>
  <c r="AB12" i="2"/>
  <c r="M12" i="2"/>
  <c r="AA12" i="2"/>
  <c r="S11" i="2"/>
  <c r="AG11" i="2"/>
  <c r="R11" i="2"/>
  <c r="AF11" i="2"/>
  <c r="Q11" i="2"/>
  <c r="AE11" i="2"/>
  <c r="P11" i="2"/>
  <c r="AD11" i="2"/>
  <c r="O11" i="2"/>
  <c r="AC11" i="2"/>
  <c r="N11" i="2"/>
  <c r="AB11" i="2"/>
  <c r="M11" i="2"/>
  <c r="AA11" i="2"/>
  <c r="S10" i="2"/>
  <c r="AG10" i="2"/>
  <c r="R10" i="2"/>
  <c r="AF10" i="2"/>
  <c r="Q10" i="2"/>
  <c r="AE10" i="2"/>
  <c r="P10" i="2"/>
  <c r="AD10" i="2"/>
  <c r="O10" i="2"/>
  <c r="AC10" i="2"/>
  <c r="N10" i="2"/>
  <c r="AB10" i="2"/>
  <c r="M10" i="2"/>
  <c r="AA10" i="2"/>
  <c r="S9" i="2"/>
  <c r="AG9" i="2"/>
  <c r="R9" i="2"/>
  <c r="AF9" i="2"/>
  <c r="Q9" i="2"/>
  <c r="AE9" i="2"/>
  <c r="P9" i="2"/>
  <c r="AD9" i="2"/>
  <c r="O9" i="2"/>
  <c r="AC9" i="2"/>
  <c r="N9" i="2"/>
  <c r="AB9" i="2"/>
  <c r="M9" i="2"/>
  <c r="AA9" i="2"/>
  <c r="S8" i="2"/>
  <c r="AG8" i="2"/>
  <c r="Q8" i="2"/>
  <c r="AE8" i="2"/>
  <c r="O8" i="2"/>
  <c r="AC8" i="2"/>
  <c r="M8" i="2"/>
  <c r="AA8" i="2"/>
</calcChain>
</file>

<file path=xl/sharedStrings.xml><?xml version="1.0" encoding="utf-8"?>
<sst xmlns="http://schemas.openxmlformats.org/spreadsheetml/2006/main" count="111" uniqueCount="30">
  <si>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</si>
  <si>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</si>
  <si>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</si>
  <si>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</si>
  <si>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</si>
  <si>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</si>
  <si>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</si>
  <si>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구 분</t>
    <phoneticPr fontId="1" type="noConversion"/>
  </si>
  <si>
    <t>기간</t>
    <phoneticPr fontId="1" type="noConversion"/>
  </si>
  <si>
    <t>결제조건</t>
    <phoneticPr fontId="1" type="noConversion"/>
  </si>
  <si>
    <t>무신용장</t>
    <phoneticPr fontId="1" type="noConversion"/>
  </si>
  <si>
    <t>기본요율</t>
    <phoneticPr fontId="1" type="noConversion"/>
  </si>
  <si>
    <t>신용장</t>
    <phoneticPr fontId="1" type="noConversion"/>
  </si>
  <si>
    <t>기준보험요율</t>
    <phoneticPr fontId="1" type="noConversion"/>
  </si>
  <si>
    <t>* 일반수출 부보율 : 97.5%, 중계무역 부보율 : 80%</t>
    <phoneticPr fontId="1" type="noConversion"/>
  </si>
  <si>
    <t>2016년 적용요율</t>
    <phoneticPr fontId="1" type="noConversion"/>
  </si>
  <si>
    <t>일반수출 (기준보험요율 * 0.6 * 1.2)</t>
    <phoneticPr fontId="1" type="noConversion"/>
  </si>
  <si>
    <t>중계무역 (기준보험요율 * 0.6 * 1.2 * 1.4 * 1.3)</t>
    <phoneticPr fontId="1" type="noConversion"/>
  </si>
  <si>
    <t>당사 vs Maker 보험요율 비교</t>
    <phoneticPr fontId="1" type="noConversion"/>
  </si>
  <si>
    <t>당사 2017년 적용요율 (포괄요율*0.6*2.45)</t>
    <phoneticPr fontId="1" type="noConversion"/>
  </si>
  <si>
    <t>Maker 적용요율 (개별요율)</t>
    <phoneticPr fontId="1" type="noConversion"/>
  </si>
  <si>
    <t xml:space="preserve">  1) 위험평준화 할인율  :   40% 할인</t>
    <phoneticPr fontId="1" type="noConversion"/>
  </si>
  <si>
    <t>* 중계무역 40% 할증</t>
    <phoneticPr fontId="1" type="noConversion"/>
  </si>
  <si>
    <t xml:space="preserve">  3) 중견기업 할인        :   10% 할인</t>
    <phoneticPr fontId="1" type="noConversion"/>
  </si>
  <si>
    <t xml:space="preserve">  2) 포괄보험 할증율     :   -</t>
    <phoneticPr fontId="1" type="noConversion"/>
  </si>
  <si>
    <t>일반수출 (기준보험요율 * 0.6 * 0.9 * 1.15)</t>
    <phoneticPr fontId="1" type="noConversion"/>
  </si>
  <si>
    <t>중계무역 (기준보험요율 * 0.6 * 0.9 * 1.15 * 1.4)</t>
    <phoneticPr fontId="1" type="noConversion"/>
  </si>
  <si>
    <t xml:space="preserve">  4) Underwirter 할증    :   15% 할증</t>
    <phoneticPr fontId="1" type="noConversion"/>
  </si>
  <si>
    <t>* 일반수출 부보율 : 97.5%, 중계무역 부보율 : 85%</t>
    <phoneticPr fontId="1" type="noConversion"/>
  </si>
  <si>
    <t xml:space="preserve">2026년 적용요율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</si>
</sst>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9" x14ac:knownFonts="1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나눔고딕"/>
      <family val="2"/>
      <charset val="129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u/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3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2" fontId="2" fillId="4" borderId="4" xfId="0" applyNumberFormat="1" applyFont="1" applyFill="1" applyBorder="1" applyAlignment="1">
      <alignment horizontal="center" vertical="center"/>
    </xf>
    <xf numFmtId="0" fontId="5" fillId="3" borderId="0" xfId="0" applyFont="1" applyFill="1">
      <alignment vertical="center"/>
    </xf>
    <xf numFmtId="0" fontId="6" fillId="3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9" fontId="2" fillId="0" borderId="0" xfId="1" applyFont="1">
      <alignment vertical="center"/>
    </xf>
    <xf numFmtId="0" fontId="8" fillId="0" borderId="0" xfId="0" applyFont="1">
      <alignment vertical="center"/>
    </xf>
    <xf numFmtId="0" fontId="2" fillId="3" borderId="0" xfId="0" applyFont="1" applyFill="1">
      <alignment vertical="center"/>
    </xf>
    <xf numFmtId="176" fontId="2" fillId="0" borderId="0" xfId="0" applyNumberFormat="1" applyFont="1">
      <alignment vertical="center"/>
    </xf>
    <xf numFmtId="2" fontId="2" fillId="0" borderId="2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9</xdr:col>
      <xdr:colOff>27812</xdr:colOff>
      <xdr:row>20</xdr:row>
      <xdr:rowOff>56747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0983756-FE23-4F88-8137-45DEF3AC4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66675"/>
          <a:ext cx="6104762" cy="3228572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20</xdr:row>
      <xdr:rowOff>76200</xdr:rowOff>
    </xdr:from>
    <xdr:to>
      <xdr:col>9</xdr:col>
      <xdr:colOff>75435</xdr:colOff>
      <xdr:row>40</xdr:row>
      <xdr:rowOff>28176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F7F2F1-33CE-4673-BFB6-14645E352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3314700"/>
          <a:ext cx="6123810" cy="31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2:Z32"/>
  <sheetViews>
    <sheetView showGridLines="0" tabSelected="1" zoomScale="80" zoomScaleNormal="80" workbookViewId="0">
      <selection activeCell="K37" sqref="K37"/>
    </sheetView>
  </sheetViews>
  <sheetFormatPr defaultRowHeight="13.5" x14ac:dyDescent="0.2"/>
  <cols>
    <col min="1" max="1" width="9" style="1"/>
    <col min="2" max="2" width="9.375" style="1" customWidth="1"/>
    <col min="3" max="9" width="7.75" style="1" customWidth="1"/>
    <col min="10" max="10" width="2.25" style="1" customWidth="1"/>
    <col min="11" max="11" width="9.625" style="1" customWidth="1"/>
    <col min="12" max="12" width="9.375" style="1" customWidth="1"/>
    <col min="13" max="26" width="7.75" style="1" customWidth="1"/>
    <col min="27" max="16384" width="9" style="1"/>
  </cols>
  <sheetData>
    <row r="2" spans="1:26" x14ac:dyDescent="0.2">
      <c r="L2" s="39"/>
      <c r="M2" s="39"/>
      <c r="N2" s="39"/>
      <c r="O2" s="39"/>
      <c r="P2" s="39"/>
      <c r="Q2" s="39"/>
      <c r="R2" s="39"/>
      <c r="S2" s="39"/>
    </row>
    <row r="3" spans="1:26" ht="26.25" customHeight="1" x14ac:dyDescent="0.2">
      <c r="A3" s="2" t="s">
        <v>13</v>
      </c>
      <c r="B3" s="3"/>
      <c r="K3" s="2" t="s">
        <v>29</v>
      </c>
      <c r="L3" s="3"/>
      <c r="M3" s="36"/>
    </row>
    <row r="4" spans="1:26" ht="7.5" customHeight="1" x14ac:dyDescent="0.2">
      <c r="A4" s="4"/>
      <c r="B4" s="5"/>
      <c r="K4" s="4"/>
      <c r="L4" s="5"/>
    </row>
    <row r="5" spans="1:26" ht="21" customHeight="1" x14ac:dyDescent="0.2">
      <c r="A5" s="4"/>
      <c r="B5" s="5"/>
      <c r="K5" s="35" t="s">
        <v>21</v>
      </c>
      <c r="L5" s="5"/>
    </row>
    <row r="6" spans="1:26" ht="21" customHeight="1" x14ac:dyDescent="0.2">
      <c r="A6" s="4"/>
      <c r="B6" s="5"/>
      <c r="K6" s="35" t="s">
        <v>24</v>
      </c>
      <c r="L6" s="5"/>
    </row>
    <row r="7" spans="1:26" ht="21" customHeight="1" x14ac:dyDescent="0.2">
      <c r="A7" s="4"/>
      <c r="B7" s="5"/>
      <c r="K7" s="35" t="s">
        <v>23</v>
      </c>
      <c r="L7" s="5"/>
    </row>
    <row r="8" spans="1:26" ht="21" customHeight="1" x14ac:dyDescent="0.2">
      <c r="A8" s="4"/>
      <c r="B8" s="5"/>
      <c r="K8" s="35" t="s">
        <v>27</v>
      </c>
      <c r="L8" s="5"/>
    </row>
    <row r="9" spans="1:26" ht="21" customHeight="1" x14ac:dyDescent="0.2">
      <c r="A9" s="4"/>
      <c r="B9" s="5"/>
      <c r="K9" s="35"/>
      <c r="L9" s="5"/>
    </row>
    <row r="11" spans="1:26" s="6" customFormat="1" ht="20.25" customHeight="1" x14ac:dyDescent="0.2">
      <c r="A11" s="44" t="s">
        <v>7</v>
      </c>
      <c r="B11" s="44"/>
      <c r="C11" s="45" t="s">
        <v>11</v>
      </c>
      <c r="D11" s="42"/>
      <c r="E11" s="42"/>
      <c r="F11" s="42"/>
      <c r="G11" s="42"/>
      <c r="H11" s="42"/>
      <c r="I11" s="43"/>
      <c r="K11" s="44" t="s">
        <v>7</v>
      </c>
      <c r="L11" s="44"/>
      <c r="M11" s="45" t="s">
        <v>25</v>
      </c>
      <c r="N11" s="42"/>
      <c r="O11" s="42"/>
      <c r="P11" s="42"/>
      <c r="Q11" s="42"/>
      <c r="R11" s="42"/>
      <c r="S11" s="42"/>
      <c r="T11" s="41" t="s">
        <v>26</v>
      </c>
      <c r="U11" s="42"/>
      <c r="V11" s="42"/>
      <c r="W11" s="42"/>
      <c r="X11" s="42"/>
      <c r="Y11" s="42"/>
      <c r="Z11" s="43"/>
    </row>
    <row r="12" spans="1:26" s="6" customFormat="1" ht="20.25" customHeight="1" x14ac:dyDescent="0.2">
      <c r="A12" s="7" t="s">
        <v>9</v>
      </c>
      <c r="B12" s="8" t="s">
        <v>8</v>
      </c>
      <c r="C12" s="9" t="s">
        <v>0</v>
      </c>
      <c r="D12" s="9" t="s">
        <v>1</v>
      </c>
      <c r="E12" s="9" t="s">
        <v>2</v>
      </c>
      <c r="F12" s="9" t="s">
        <v>3</v>
      </c>
      <c r="G12" s="9" t="s">
        <v>4</v>
      </c>
      <c r="H12" s="9" t="s">
        <v>5</v>
      </c>
      <c r="I12" s="9" t="s">
        <v>6</v>
      </c>
      <c r="K12" s="7" t="s">
        <v>9</v>
      </c>
      <c r="L12" s="8" t="s">
        <v>8</v>
      </c>
      <c r="M12" s="9" t="s">
        <v>0</v>
      </c>
      <c r="N12" s="9" t="s">
        <v>1</v>
      </c>
      <c r="O12" s="9" t="s">
        <v>2</v>
      </c>
      <c r="P12" s="9" t="s">
        <v>3</v>
      </c>
      <c r="Q12" s="9" t="s">
        <v>4</v>
      </c>
      <c r="R12" s="9" t="s">
        <v>5</v>
      </c>
      <c r="S12" s="10" t="s">
        <v>6</v>
      </c>
      <c r="T12" s="11" t="s">
        <v>0</v>
      </c>
      <c r="U12" s="9" t="s">
        <v>1</v>
      </c>
      <c r="V12" s="9" t="s">
        <v>2</v>
      </c>
      <c r="W12" s="9" t="s">
        <v>3</v>
      </c>
      <c r="X12" s="9" t="s">
        <v>4</v>
      </c>
      <c r="Y12" s="9" t="s">
        <v>5</v>
      </c>
      <c r="Z12" s="9" t="s">
        <v>6</v>
      </c>
    </row>
    <row r="13" spans="1:26" ht="20.25" customHeight="1" x14ac:dyDescent="0.2">
      <c r="A13" s="40" t="s">
        <v>10</v>
      </c>
      <c r="B13" s="12">
        <v>30</v>
      </c>
      <c r="C13" s="13">
        <v>0.13</v>
      </c>
      <c r="D13" s="13">
        <v>0.26</v>
      </c>
      <c r="E13" s="13">
        <v>0.34</v>
      </c>
      <c r="F13" s="13">
        <v>0.42</v>
      </c>
      <c r="G13" s="13">
        <v>0.5</v>
      </c>
      <c r="H13" s="13">
        <v>0.57999999999999996</v>
      </c>
      <c r="I13" s="13">
        <v>0.78</v>
      </c>
      <c r="J13" s="14"/>
      <c r="K13" s="40" t="s">
        <v>10</v>
      </c>
      <c r="L13" s="12">
        <v>30</v>
      </c>
      <c r="M13" s="13">
        <f t="shared" ref="M13:S13" si="0">C13*0.6*0.9*1.15</f>
        <v>8.0729999999999996E-2</v>
      </c>
      <c r="N13" s="13">
        <f t="shared" si="0"/>
        <v>0.16145999999999999</v>
      </c>
      <c r="O13" s="13">
        <f t="shared" si="0"/>
        <v>0.21113999999999999</v>
      </c>
      <c r="P13" s="13">
        <f t="shared" si="0"/>
        <v>0.26082</v>
      </c>
      <c r="Q13" s="13">
        <f t="shared" si="0"/>
        <v>0.3105</v>
      </c>
      <c r="R13" s="13">
        <f t="shared" si="0"/>
        <v>0.36017999999999994</v>
      </c>
      <c r="S13" s="15">
        <f t="shared" si="0"/>
        <v>0.48437999999999992</v>
      </c>
      <c r="T13" s="16">
        <f>C13*0.6*0.9*1.15*1.4</f>
        <v>0.11302199999999998</v>
      </c>
      <c r="U13" s="13">
        <f t="shared" ref="U13:U18" si="1">D13*0.6*0.9*1.15*1.4</f>
        <v>0.22604399999999997</v>
      </c>
      <c r="V13" s="13">
        <f t="shared" ref="V13:V18" si="2">E13*0.6*0.9*1.15*1.4</f>
        <v>0.29559599999999997</v>
      </c>
      <c r="W13" s="13">
        <f t="shared" ref="W13:W18" si="3">F13*0.6*0.9*1.15*1.4</f>
        <v>0.36514799999999997</v>
      </c>
      <c r="X13" s="13">
        <f t="shared" ref="X13:X18" si="4">G13*0.6*0.9*1.15*1.4</f>
        <v>0.43469999999999998</v>
      </c>
      <c r="Y13" s="13">
        <f t="shared" ref="Y13:Y18" si="5">H13*0.6*0.9*1.15*1.4</f>
        <v>0.50425199999999992</v>
      </c>
      <c r="Z13" s="13">
        <f t="shared" ref="Z13:Z18" si="6">I13*0.6*0.9*1.15*1.4</f>
        <v>0.67813199999999985</v>
      </c>
    </row>
    <row r="14" spans="1:26" ht="20.25" customHeight="1" x14ac:dyDescent="0.2">
      <c r="A14" s="40"/>
      <c r="B14" s="17">
        <v>60</v>
      </c>
      <c r="C14" s="18">
        <v>0.16</v>
      </c>
      <c r="D14" s="18">
        <v>0.32</v>
      </c>
      <c r="E14" s="18">
        <v>0.42</v>
      </c>
      <c r="F14" s="18">
        <v>0.52</v>
      </c>
      <c r="G14" s="18">
        <v>0.61</v>
      </c>
      <c r="H14" s="18">
        <v>0.71</v>
      </c>
      <c r="I14" s="18">
        <v>0.96</v>
      </c>
      <c r="J14" s="14"/>
      <c r="K14" s="40"/>
      <c r="L14" s="17">
        <v>60</v>
      </c>
      <c r="M14" s="18">
        <f t="shared" ref="M14:M18" si="7">C14*0.6*0.9*1.15</f>
        <v>9.9360000000000004E-2</v>
      </c>
      <c r="N14" s="18">
        <f t="shared" ref="N14:N18" si="8">D14*0.6*0.9*1.15</f>
        <v>0.19872000000000001</v>
      </c>
      <c r="O14" s="18">
        <f t="shared" ref="O14:O18" si="9">E14*0.6*0.9*1.15</f>
        <v>0.26082</v>
      </c>
      <c r="P14" s="18">
        <f t="shared" ref="P14:P18" si="10">F14*0.6*0.9*1.15</f>
        <v>0.32291999999999998</v>
      </c>
      <c r="Q14" s="18">
        <f t="shared" ref="Q14:Q18" si="11">G14*0.6*0.9*1.15</f>
        <v>0.37880999999999998</v>
      </c>
      <c r="R14" s="18">
        <f t="shared" ref="R14:R18" si="12">H14*0.6*0.9*1.15</f>
        <v>0.44090999999999997</v>
      </c>
      <c r="S14" s="19">
        <f>I14*0.6*0.9*1.15</f>
        <v>0.59615999999999991</v>
      </c>
      <c r="T14" s="20">
        <f t="shared" ref="T14:T18" si="13">C14*0.6*0.9*1.15*1.4</f>
        <v>0.13910400000000001</v>
      </c>
      <c r="U14" s="18">
        <f t="shared" si="1"/>
        <v>0.27820800000000001</v>
      </c>
      <c r="V14" s="18">
        <f t="shared" si="2"/>
        <v>0.36514799999999997</v>
      </c>
      <c r="W14" s="18">
        <f t="shared" si="3"/>
        <v>0.45208799999999993</v>
      </c>
      <c r="X14" s="18">
        <f t="shared" si="4"/>
        <v>0.53033399999999997</v>
      </c>
      <c r="Y14" s="18">
        <f t="shared" si="5"/>
        <v>0.61727399999999988</v>
      </c>
      <c r="Z14" s="18">
        <f t="shared" si="6"/>
        <v>0.83462399999999981</v>
      </c>
    </row>
    <row r="15" spans="1:26" ht="20.25" customHeight="1" x14ac:dyDescent="0.2">
      <c r="A15" s="40"/>
      <c r="B15" s="17">
        <v>90</v>
      </c>
      <c r="C15" s="18">
        <v>0.19</v>
      </c>
      <c r="D15" s="18">
        <v>0.38</v>
      </c>
      <c r="E15" s="18">
        <v>0.5</v>
      </c>
      <c r="F15" s="18">
        <v>0.61</v>
      </c>
      <c r="G15" s="18">
        <v>0.73</v>
      </c>
      <c r="H15" s="18">
        <v>0.84</v>
      </c>
      <c r="I15" s="18">
        <v>1.1399999999999999</v>
      </c>
      <c r="J15" s="14"/>
      <c r="K15" s="40"/>
      <c r="L15" s="17">
        <v>90</v>
      </c>
      <c r="M15" s="18">
        <f t="shared" si="7"/>
        <v>0.11798999999999998</v>
      </c>
      <c r="N15" s="18">
        <f t="shared" si="8"/>
        <v>0.23597999999999997</v>
      </c>
      <c r="O15" s="18">
        <f t="shared" si="9"/>
        <v>0.3105</v>
      </c>
      <c r="P15" s="18">
        <f t="shared" si="10"/>
        <v>0.37880999999999998</v>
      </c>
      <c r="Q15" s="18">
        <f t="shared" si="11"/>
        <v>0.45332999999999996</v>
      </c>
      <c r="R15" s="18">
        <f t="shared" si="12"/>
        <v>0.52163999999999999</v>
      </c>
      <c r="S15" s="19">
        <f t="shared" ref="S15:S18" si="14">I15*0.6*0.9*1.15</f>
        <v>0.7079399999999999</v>
      </c>
      <c r="T15" s="20">
        <f t="shared" si="13"/>
        <v>0.16518599999999997</v>
      </c>
      <c r="U15" s="18">
        <f t="shared" si="1"/>
        <v>0.33037199999999994</v>
      </c>
      <c r="V15" s="18">
        <f t="shared" si="2"/>
        <v>0.43469999999999998</v>
      </c>
      <c r="W15" s="18">
        <f t="shared" si="3"/>
        <v>0.53033399999999997</v>
      </c>
      <c r="X15" s="18">
        <f t="shared" si="4"/>
        <v>0.63466199999999995</v>
      </c>
      <c r="Y15" s="18">
        <f t="shared" si="5"/>
        <v>0.73029599999999995</v>
      </c>
      <c r="Z15" s="18">
        <f t="shared" si="6"/>
        <v>0.99111599999999977</v>
      </c>
    </row>
    <row r="16" spans="1:26" ht="20.25" customHeight="1" x14ac:dyDescent="0.2">
      <c r="A16" s="40"/>
      <c r="B16" s="17">
        <v>120</v>
      </c>
      <c r="C16" s="18">
        <v>0.24</v>
      </c>
      <c r="D16" s="18">
        <v>0.47</v>
      </c>
      <c r="E16" s="18">
        <v>0.62</v>
      </c>
      <c r="F16" s="18">
        <v>0.76</v>
      </c>
      <c r="G16" s="18">
        <v>0.9</v>
      </c>
      <c r="H16" s="18">
        <v>1.04</v>
      </c>
      <c r="I16" s="18">
        <v>1.41</v>
      </c>
      <c r="J16" s="14"/>
      <c r="K16" s="40"/>
      <c r="L16" s="17">
        <v>120</v>
      </c>
      <c r="M16" s="18">
        <f t="shared" si="7"/>
        <v>0.14903999999999998</v>
      </c>
      <c r="N16" s="18">
        <f t="shared" si="8"/>
        <v>0.29186999999999996</v>
      </c>
      <c r="O16" s="18">
        <f t="shared" si="9"/>
        <v>0.38501999999999997</v>
      </c>
      <c r="P16" s="18">
        <f t="shared" si="10"/>
        <v>0.47195999999999994</v>
      </c>
      <c r="Q16" s="18">
        <f t="shared" si="11"/>
        <v>0.55889999999999995</v>
      </c>
      <c r="R16" s="18">
        <f t="shared" si="12"/>
        <v>0.64583999999999997</v>
      </c>
      <c r="S16" s="19">
        <f t="shared" si="14"/>
        <v>0.87560999999999989</v>
      </c>
      <c r="T16" s="20">
        <f t="shared" si="13"/>
        <v>0.20865599999999995</v>
      </c>
      <c r="U16" s="18">
        <f t="shared" si="1"/>
        <v>0.40861799999999993</v>
      </c>
      <c r="V16" s="18">
        <f t="shared" si="2"/>
        <v>0.53902799999999995</v>
      </c>
      <c r="W16" s="18">
        <f t="shared" si="3"/>
        <v>0.66074399999999989</v>
      </c>
      <c r="X16" s="18">
        <f t="shared" si="4"/>
        <v>0.78245999999999993</v>
      </c>
      <c r="Y16" s="18">
        <f t="shared" si="5"/>
        <v>0.90417599999999987</v>
      </c>
      <c r="Z16" s="18">
        <f t="shared" si="6"/>
        <v>1.2258539999999998</v>
      </c>
    </row>
    <row r="17" spans="1:26" ht="20.25" customHeight="1" x14ac:dyDescent="0.2">
      <c r="A17" s="40"/>
      <c r="B17" s="17">
        <v>150</v>
      </c>
      <c r="C17" s="18">
        <v>0.28000000000000003</v>
      </c>
      <c r="D17" s="18">
        <v>0.56000000000000005</v>
      </c>
      <c r="E17" s="18">
        <v>0.73</v>
      </c>
      <c r="F17" s="18">
        <v>0.9</v>
      </c>
      <c r="G17" s="18">
        <v>1.07</v>
      </c>
      <c r="H17" s="18">
        <v>1.24</v>
      </c>
      <c r="I17" s="18">
        <v>1.68</v>
      </c>
      <c r="J17" s="14"/>
      <c r="K17" s="40"/>
      <c r="L17" s="17">
        <v>150</v>
      </c>
      <c r="M17" s="18">
        <f t="shared" si="7"/>
        <v>0.17387999999999998</v>
      </c>
      <c r="N17" s="18">
        <f t="shared" si="8"/>
        <v>0.34775999999999996</v>
      </c>
      <c r="O17" s="18">
        <f t="shared" si="9"/>
        <v>0.45332999999999996</v>
      </c>
      <c r="P17" s="18">
        <f t="shared" si="10"/>
        <v>0.55889999999999995</v>
      </c>
      <c r="Q17" s="18">
        <f t="shared" si="11"/>
        <v>0.66446999999999989</v>
      </c>
      <c r="R17" s="18">
        <f t="shared" si="12"/>
        <v>0.77003999999999995</v>
      </c>
      <c r="S17" s="19">
        <f t="shared" si="14"/>
        <v>1.04328</v>
      </c>
      <c r="T17" s="20">
        <f t="shared" si="13"/>
        <v>0.24343199999999995</v>
      </c>
      <c r="U17" s="18">
        <f t="shared" si="1"/>
        <v>0.48686399999999991</v>
      </c>
      <c r="V17" s="18">
        <f t="shared" si="2"/>
        <v>0.63466199999999995</v>
      </c>
      <c r="W17" s="18">
        <f t="shared" si="3"/>
        <v>0.78245999999999993</v>
      </c>
      <c r="X17" s="18">
        <f t="shared" si="4"/>
        <v>0.93025799999999981</v>
      </c>
      <c r="Y17" s="18">
        <f t="shared" si="5"/>
        <v>1.0780559999999999</v>
      </c>
      <c r="Z17" s="18">
        <f t="shared" si="6"/>
        <v>1.4605919999999999</v>
      </c>
    </row>
    <row r="18" spans="1:26" ht="20.25" customHeight="1" x14ac:dyDescent="0.2">
      <c r="A18" s="40"/>
      <c r="B18" s="21">
        <v>180</v>
      </c>
      <c r="C18" s="22">
        <v>0.33</v>
      </c>
      <c r="D18" s="22">
        <v>0.65</v>
      </c>
      <c r="E18" s="22">
        <v>0.85</v>
      </c>
      <c r="F18" s="22">
        <v>1.04</v>
      </c>
      <c r="G18" s="22">
        <v>1.24</v>
      </c>
      <c r="H18" s="22">
        <v>1.43</v>
      </c>
      <c r="I18" s="22">
        <v>1.95</v>
      </c>
      <c r="J18" s="14"/>
      <c r="K18" s="40"/>
      <c r="L18" s="21">
        <v>180</v>
      </c>
      <c r="M18" s="22">
        <f t="shared" si="7"/>
        <v>0.20493</v>
      </c>
      <c r="N18" s="22">
        <f t="shared" si="8"/>
        <v>0.40365000000000001</v>
      </c>
      <c r="O18" s="22">
        <f t="shared" si="9"/>
        <v>0.52784999999999993</v>
      </c>
      <c r="P18" s="22">
        <f t="shared" si="10"/>
        <v>0.64583999999999997</v>
      </c>
      <c r="Q18" s="22">
        <f t="shared" si="11"/>
        <v>0.77003999999999995</v>
      </c>
      <c r="R18" s="22">
        <f t="shared" si="12"/>
        <v>0.88802999999999988</v>
      </c>
      <c r="S18" s="23">
        <f t="shared" si="14"/>
        <v>1.2109499999999997</v>
      </c>
      <c r="T18" s="24">
        <f t="shared" si="13"/>
        <v>0.28690199999999999</v>
      </c>
      <c r="U18" s="22">
        <f t="shared" si="1"/>
        <v>0.56511</v>
      </c>
      <c r="V18" s="22">
        <f t="shared" si="2"/>
        <v>0.73898999999999981</v>
      </c>
      <c r="W18" s="22">
        <f t="shared" si="3"/>
        <v>0.90417599999999987</v>
      </c>
      <c r="X18" s="22">
        <f t="shared" si="4"/>
        <v>1.0780559999999999</v>
      </c>
      <c r="Y18" s="22">
        <f t="shared" si="5"/>
        <v>1.2432419999999997</v>
      </c>
      <c r="Z18" s="22">
        <f t="shared" si="6"/>
        <v>1.6953299999999996</v>
      </c>
    </row>
    <row r="19" spans="1:26" ht="20.25" customHeight="1" x14ac:dyDescent="0.2">
      <c r="A19" s="7" t="s">
        <v>9</v>
      </c>
      <c r="B19" s="8" t="s">
        <v>8</v>
      </c>
      <c r="C19" s="25">
        <v>1</v>
      </c>
      <c r="D19" s="25">
        <v>2</v>
      </c>
      <c r="E19" s="25">
        <v>3</v>
      </c>
      <c r="F19" s="25">
        <v>4</v>
      </c>
      <c r="G19" s="25">
        <v>5</v>
      </c>
      <c r="H19" s="25">
        <v>6</v>
      </c>
      <c r="I19" s="25">
        <v>7</v>
      </c>
      <c r="K19" s="7" t="s">
        <v>9</v>
      </c>
      <c r="L19" s="8" t="s">
        <v>8</v>
      </c>
      <c r="M19" s="25">
        <v>1</v>
      </c>
      <c r="N19" s="25">
        <v>2</v>
      </c>
      <c r="O19" s="25">
        <v>3</v>
      </c>
      <c r="P19" s="25">
        <v>4</v>
      </c>
      <c r="Q19" s="25">
        <v>5</v>
      </c>
      <c r="R19" s="25">
        <v>6</v>
      </c>
      <c r="S19" s="26">
        <v>7</v>
      </c>
      <c r="T19" s="27">
        <v>1</v>
      </c>
      <c r="U19" s="25">
        <v>2</v>
      </c>
      <c r="V19" s="25">
        <v>3</v>
      </c>
      <c r="W19" s="25">
        <v>4</v>
      </c>
      <c r="X19" s="25">
        <v>5</v>
      </c>
      <c r="Y19" s="25">
        <v>6</v>
      </c>
      <c r="Z19" s="25">
        <v>7</v>
      </c>
    </row>
    <row r="20" spans="1:26" ht="20.25" customHeight="1" x14ac:dyDescent="0.2">
      <c r="A20" s="40" t="s">
        <v>12</v>
      </c>
      <c r="B20" s="12">
        <v>30</v>
      </c>
      <c r="C20" s="13">
        <v>0.03</v>
      </c>
      <c r="D20" s="13">
        <v>0.06</v>
      </c>
      <c r="E20" s="13">
        <v>0.08</v>
      </c>
      <c r="F20" s="13">
        <v>0.1</v>
      </c>
      <c r="G20" s="13">
        <v>0.11</v>
      </c>
      <c r="H20" s="13">
        <v>0.13</v>
      </c>
      <c r="I20" s="13">
        <v>0.18</v>
      </c>
      <c r="K20" s="40" t="s">
        <v>12</v>
      </c>
      <c r="L20" s="12">
        <v>30</v>
      </c>
      <c r="M20" s="13">
        <f t="shared" ref="M20:M25" si="15">C20*0.6*0.9*1.15</f>
        <v>1.8629999999999997E-2</v>
      </c>
      <c r="N20" s="13">
        <f t="shared" ref="N20:N25" si="16">D20*0.6*0.9*1.15</f>
        <v>3.7259999999999995E-2</v>
      </c>
      <c r="O20" s="13">
        <f t="shared" ref="O20:O25" si="17">E20*0.6*0.9*1.15</f>
        <v>4.9680000000000002E-2</v>
      </c>
      <c r="P20" s="13">
        <f t="shared" ref="P20:P25" si="18">F20*0.6*0.9*1.15</f>
        <v>6.2099999999999995E-2</v>
      </c>
      <c r="Q20" s="13">
        <f t="shared" ref="Q20:Q25" si="19">G20*0.6*0.9*1.15</f>
        <v>6.8309999999999996E-2</v>
      </c>
      <c r="R20" s="13">
        <f t="shared" ref="R20:R25" si="20">H20*0.6*0.9*1.15</f>
        <v>8.0729999999999996E-2</v>
      </c>
      <c r="S20" s="15">
        <f t="shared" ref="S20:S25" si="21">I20*0.6*0.9*1.15</f>
        <v>0.11177999999999999</v>
      </c>
      <c r="T20" s="16">
        <f t="shared" ref="T20:T25" si="22">C20*0.6*0.9*1.15*1.4</f>
        <v>2.6081999999999994E-2</v>
      </c>
      <c r="U20" s="13">
        <f t="shared" ref="U20:U25" si="23">D20*0.6*0.9*1.15*1.4</f>
        <v>5.2163999999999988E-2</v>
      </c>
      <c r="V20" s="13">
        <f t="shared" ref="V20:V25" si="24">E20*0.6*0.9*1.15*1.4</f>
        <v>6.9552000000000003E-2</v>
      </c>
      <c r="W20" s="13">
        <f t="shared" ref="W20:W24" si="25">F20*0.6*0.9*1.15*1.4</f>
        <v>8.693999999999999E-2</v>
      </c>
      <c r="X20" s="13">
        <f t="shared" ref="X20:X25" si="26">G20*0.6*0.9*1.15*1.4</f>
        <v>9.5633999999999983E-2</v>
      </c>
      <c r="Y20" s="13">
        <f t="shared" ref="Y20:Y25" si="27">H20*0.6*0.9*1.15*1.4</f>
        <v>0.11302199999999998</v>
      </c>
      <c r="Z20" s="13">
        <f t="shared" ref="Z20:Z25" si="28">I20*0.6*0.9*1.15*1.4</f>
        <v>0.15649199999999996</v>
      </c>
    </row>
    <row r="21" spans="1:26" ht="20.25" customHeight="1" x14ac:dyDescent="0.2">
      <c r="A21" s="40"/>
      <c r="B21" s="17">
        <v>60</v>
      </c>
      <c r="C21" s="18">
        <v>0.06</v>
      </c>
      <c r="D21" s="18">
        <v>0.12</v>
      </c>
      <c r="E21" s="18">
        <v>0.16</v>
      </c>
      <c r="F21" s="18">
        <v>0.19</v>
      </c>
      <c r="G21" s="18">
        <v>0.23</v>
      </c>
      <c r="H21" s="18">
        <v>0.26</v>
      </c>
      <c r="I21" s="18">
        <v>0.36</v>
      </c>
      <c r="K21" s="40"/>
      <c r="L21" s="17">
        <v>60</v>
      </c>
      <c r="M21" s="38">
        <f t="shared" si="15"/>
        <v>3.7259999999999995E-2</v>
      </c>
      <c r="N21" s="18">
        <f t="shared" si="16"/>
        <v>7.4519999999999989E-2</v>
      </c>
      <c r="O21" s="18">
        <f t="shared" si="17"/>
        <v>9.9360000000000004E-2</v>
      </c>
      <c r="P21" s="18">
        <f t="shared" si="18"/>
        <v>0.11798999999999998</v>
      </c>
      <c r="Q21" s="18">
        <f t="shared" si="19"/>
        <v>0.14283000000000001</v>
      </c>
      <c r="R21" s="18">
        <f t="shared" si="20"/>
        <v>0.16145999999999999</v>
      </c>
      <c r="S21" s="19">
        <f t="shared" si="21"/>
        <v>0.22355999999999998</v>
      </c>
      <c r="T21" s="20">
        <f t="shared" si="22"/>
        <v>5.2163999999999988E-2</v>
      </c>
      <c r="U21" s="18">
        <f t="shared" si="23"/>
        <v>0.10432799999999998</v>
      </c>
      <c r="V21" s="18">
        <f t="shared" si="24"/>
        <v>0.13910400000000001</v>
      </c>
      <c r="W21" s="18">
        <f t="shared" si="25"/>
        <v>0.16518599999999997</v>
      </c>
      <c r="X21" s="18">
        <f t="shared" si="26"/>
        <v>0.199962</v>
      </c>
      <c r="Y21" s="18">
        <f t="shared" si="27"/>
        <v>0.22604399999999997</v>
      </c>
      <c r="Z21" s="18">
        <f t="shared" si="28"/>
        <v>0.31298399999999993</v>
      </c>
    </row>
    <row r="22" spans="1:26" ht="20.25" customHeight="1" x14ac:dyDescent="0.2">
      <c r="A22" s="40"/>
      <c r="B22" s="17">
        <v>90</v>
      </c>
      <c r="C22" s="18">
        <v>7.0000000000000007E-2</v>
      </c>
      <c r="D22" s="18">
        <v>0.14000000000000001</v>
      </c>
      <c r="E22" s="18">
        <v>0.18</v>
      </c>
      <c r="F22" s="18">
        <v>0.22</v>
      </c>
      <c r="G22" s="18">
        <v>0.27</v>
      </c>
      <c r="H22" s="18">
        <v>0.31</v>
      </c>
      <c r="I22" s="18">
        <v>0.42</v>
      </c>
      <c r="K22" s="40"/>
      <c r="L22" s="17">
        <v>90</v>
      </c>
      <c r="M22" s="18">
        <f t="shared" si="15"/>
        <v>4.3469999999999995E-2</v>
      </c>
      <c r="N22" s="18">
        <f t="shared" si="16"/>
        <v>8.693999999999999E-2</v>
      </c>
      <c r="O22" s="18">
        <f t="shared" si="17"/>
        <v>0.11177999999999999</v>
      </c>
      <c r="P22" s="18">
        <f t="shared" si="18"/>
        <v>0.13661999999999999</v>
      </c>
      <c r="Q22" s="18">
        <f t="shared" si="19"/>
        <v>0.16767000000000001</v>
      </c>
      <c r="R22" s="18">
        <f t="shared" si="20"/>
        <v>0.19250999999999999</v>
      </c>
      <c r="S22" s="19">
        <f t="shared" si="21"/>
        <v>0.26082</v>
      </c>
      <c r="T22" s="20">
        <f t="shared" si="22"/>
        <v>6.0857999999999988E-2</v>
      </c>
      <c r="U22" s="18">
        <f t="shared" si="23"/>
        <v>0.12171599999999998</v>
      </c>
      <c r="V22" s="18">
        <f t="shared" si="24"/>
        <v>0.15649199999999996</v>
      </c>
      <c r="W22" s="18">
        <f t="shared" si="25"/>
        <v>0.19126799999999997</v>
      </c>
      <c r="X22" s="18">
        <f t="shared" si="26"/>
        <v>0.234738</v>
      </c>
      <c r="Y22" s="18">
        <f t="shared" si="27"/>
        <v>0.26951399999999998</v>
      </c>
      <c r="Z22" s="18">
        <f t="shared" si="28"/>
        <v>0.36514799999999997</v>
      </c>
    </row>
    <row r="23" spans="1:26" ht="20.25" customHeight="1" x14ac:dyDescent="0.2">
      <c r="A23" s="40"/>
      <c r="B23" s="17">
        <v>120</v>
      </c>
      <c r="C23" s="18">
        <v>0.09</v>
      </c>
      <c r="D23" s="18">
        <v>0.17</v>
      </c>
      <c r="E23" s="18">
        <v>0.22</v>
      </c>
      <c r="F23" s="18">
        <v>0.27</v>
      </c>
      <c r="G23" s="18">
        <v>0.32</v>
      </c>
      <c r="H23" s="18">
        <v>0.37</v>
      </c>
      <c r="I23" s="18">
        <v>0.51</v>
      </c>
      <c r="K23" s="40"/>
      <c r="L23" s="17">
        <v>120</v>
      </c>
      <c r="M23" s="18">
        <f t="shared" si="15"/>
        <v>5.5889999999999995E-2</v>
      </c>
      <c r="N23" s="18">
        <f t="shared" si="16"/>
        <v>0.10557</v>
      </c>
      <c r="O23" s="18">
        <f t="shared" si="17"/>
        <v>0.13661999999999999</v>
      </c>
      <c r="P23" s="18">
        <f t="shared" si="18"/>
        <v>0.16767000000000001</v>
      </c>
      <c r="Q23" s="18">
        <f t="shared" si="19"/>
        <v>0.19872000000000001</v>
      </c>
      <c r="R23" s="18">
        <f t="shared" si="20"/>
        <v>0.22977</v>
      </c>
      <c r="S23" s="19">
        <f t="shared" si="21"/>
        <v>0.31670999999999994</v>
      </c>
      <c r="T23" s="20">
        <f t="shared" si="22"/>
        <v>7.8245999999999982E-2</v>
      </c>
      <c r="U23" s="18">
        <f t="shared" si="23"/>
        <v>0.14779799999999998</v>
      </c>
      <c r="V23" s="18">
        <f t="shared" si="24"/>
        <v>0.19126799999999997</v>
      </c>
      <c r="W23" s="18">
        <f t="shared" si="25"/>
        <v>0.234738</v>
      </c>
      <c r="X23" s="18">
        <f t="shared" si="26"/>
        <v>0.27820800000000001</v>
      </c>
      <c r="Y23" s="18">
        <f t="shared" si="27"/>
        <v>0.32167799999999996</v>
      </c>
      <c r="Z23" s="18">
        <f t="shared" si="28"/>
        <v>0.4433939999999999</v>
      </c>
    </row>
    <row r="24" spans="1:26" ht="20.25" customHeight="1" x14ac:dyDescent="0.2">
      <c r="A24" s="40"/>
      <c r="B24" s="17">
        <v>150</v>
      </c>
      <c r="C24" s="18">
        <v>0.1</v>
      </c>
      <c r="D24" s="18">
        <v>0.19</v>
      </c>
      <c r="E24" s="18">
        <v>0.25</v>
      </c>
      <c r="F24" s="18">
        <v>0.3</v>
      </c>
      <c r="G24" s="18">
        <v>0.36</v>
      </c>
      <c r="H24" s="18">
        <v>0.42</v>
      </c>
      <c r="I24" s="18">
        <v>0.56999999999999995</v>
      </c>
      <c r="K24" s="40"/>
      <c r="L24" s="17">
        <v>150</v>
      </c>
      <c r="M24" s="18">
        <f t="shared" si="15"/>
        <v>6.2099999999999995E-2</v>
      </c>
      <c r="N24" s="18">
        <f t="shared" si="16"/>
        <v>0.11798999999999998</v>
      </c>
      <c r="O24" s="18">
        <f t="shared" si="17"/>
        <v>0.15525</v>
      </c>
      <c r="P24" s="18">
        <f t="shared" si="18"/>
        <v>0.18629999999999999</v>
      </c>
      <c r="Q24" s="18">
        <f t="shared" si="19"/>
        <v>0.22355999999999998</v>
      </c>
      <c r="R24" s="18">
        <f t="shared" si="20"/>
        <v>0.26082</v>
      </c>
      <c r="S24" s="19">
        <f t="shared" si="21"/>
        <v>0.35396999999999995</v>
      </c>
      <c r="T24" s="20">
        <f t="shared" si="22"/>
        <v>8.693999999999999E-2</v>
      </c>
      <c r="U24" s="18">
        <f t="shared" si="23"/>
        <v>0.16518599999999997</v>
      </c>
      <c r="V24" s="18">
        <f t="shared" si="24"/>
        <v>0.21734999999999999</v>
      </c>
      <c r="W24" s="18">
        <f t="shared" si="25"/>
        <v>0.26082</v>
      </c>
      <c r="X24" s="18">
        <f t="shared" si="26"/>
        <v>0.31298399999999993</v>
      </c>
      <c r="Y24" s="18">
        <f t="shared" si="27"/>
        <v>0.36514799999999997</v>
      </c>
      <c r="Z24" s="18">
        <f t="shared" si="28"/>
        <v>0.49555799999999989</v>
      </c>
    </row>
    <row r="25" spans="1:26" ht="20.25" customHeight="1" x14ac:dyDescent="0.2">
      <c r="A25" s="40"/>
      <c r="B25" s="21">
        <v>180</v>
      </c>
      <c r="C25" s="22">
        <v>0.11</v>
      </c>
      <c r="D25" s="22">
        <v>0.22</v>
      </c>
      <c r="E25" s="22">
        <v>0.28999999999999998</v>
      </c>
      <c r="F25" s="22">
        <v>0.35</v>
      </c>
      <c r="G25" s="22">
        <v>0.42</v>
      </c>
      <c r="H25" s="22">
        <v>0.48</v>
      </c>
      <c r="I25" s="22">
        <v>0.66</v>
      </c>
      <c r="K25" s="40"/>
      <c r="L25" s="21">
        <v>180</v>
      </c>
      <c r="M25" s="22">
        <f t="shared" si="15"/>
        <v>6.8309999999999996E-2</v>
      </c>
      <c r="N25" s="22">
        <f t="shared" si="16"/>
        <v>0.13661999999999999</v>
      </c>
      <c r="O25" s="22">
        <f t="shared" si="17"/>
        <v>0.18008999999999997</v>
      </c>
      <c r="P25" s="22">
        <f t="shared" si="18"/>
        <v>0.21734999999999999</v>
      </c>
      <c r="Q25" s="22">
        <f t="shared" si="19"/>
        <v>0.26082</v>
      </c>
      <c r="R25" s="22">
        <f t="shared" si="20"/>
        <v>0.29807999999999996</v>
      </c>
      <c r="S25" s="23">
        <f t="shared" si="21"/>
        <v>0.40986</v>
      </c>
      <c r="T25" s="24">
        <f t="shared" si="22"/>
        <v>9.5633999999999983E-2</v>
      </c>
      <c r="U25" s="22">
        <f t="shared" si="23"/>
        <v>0.19126799999999997</v>
      </c>
      <c r="V25" s="22">
        <f t="shared" si="24"/>
        <v>0.25212599999999996</v>
      </c>
      <c r="W25" s="22">
        <f>F25*0.6*0.9*1.15*1.4</f>
        <v>0.30428999999999995</v>
      </c>
      <c r="X25" s="22">
        <f t="shared" si="26"/>
        <v>0.36514799999999997</v>
      </c>
      <c r="Y25" s="22">
        <f t="shared" si="27"/>
        <v>0.41731199999999991</v>
      </c>
      <c r="Z25" s="22">
        <f t="shared" si="28"/>
        <v>0.57380399999999998</v>
      </c>
    </row>
    <row r="26" spans="1:26" ht="20.25" customHeight="1" x14ac:dyDescent="0.2">
      <c r="K26" s="1" t="s">
        <v>28</v>
      </c>
    </row>
    <row r="27" spans="1:26" ht="20.25" customHeight="1" x14ac:dyDescent="0.2">
      <c r="K27" s="1" t="s">
        <v>22</v>
      </c>
    </row>
    <row r="29" spans="1:26" x14ac:dyDescent="0.2">
      <c r="S29" s="34"/>
    </row>
    <row r="31" spans="1:26" x14ac:dyDescent="0.2">
      <c r="L31" s="37"/>
    </row>
    <row r="32" spans="1:26" x14ac:dyDescent="0.2">
      <c r="L32" s="37"/>
    </row>
  </sheetData>
  <mergeCells count="10">
    <mergeCell ref="A20:A25"/>
    <mergeCell ref="K11:L11"/>
    <mergeCell ref="M11:S11"/>
    <mergeCell ref="K13:K18"/>
    <mergeCell ref="K20:K25"/>
    <mergeCell ref="L2:S2"/>
    <mergeCell ref="A13:A18"/>
    <mergeCell ref="T11:Z11"/>
    <mergeCell ref="A11:B11"/>
    <mergeCell ref="C11:I11"/>
  </mergeCells>
  <phoneticPr fontId="1" type="noConversion"/>
  <pageMargins left="0.39" right="0.3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21EA-C71F-4CE6-836C-7E168DD0695A}">
  <sheetPr>
    <tabColor rgb="FF00B0F0"/>
  </sheetPr>
  <dimension ref="A1"/>
  <sheetViews>
    <sheetView workbookViewId="0">
      <selection activeCell="N22" sqref="N22"/>
    </sheetView>
  </sheetViews>
  <sheetFormatPr defaultRowHeight="12.75" x14ac:dyDescent="0.2"/>
  <sheetData/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G40"/>
  <sheetViews>
    <sheetView showGridLines="0" view="pageBreakPreview" topLeftCell="K1" zoomScale="60" zoomScaleNormal="80" workbookViewId="0">
      <selection activeCell="W10" sqref="W10"/>
    </sheetView>
  </sheetViews>
  <sheetFormatPr defaultRowHeight="13.5" x14ac:dyDescent="0.2"/>
  <cols>
    <col min="1" max="1" width="0" style="1" hidden="1" customWidth="1"/>
    <col min="2" max="2" width="9.375" style="1" hidden="1" customWidth="1"/>
    <col min="3" max="9" width="7.75" style="1" hidden="1" customWidth="1"/>
    <col min="10" max="10" width="2.25" style="1" hidden="1" customWidth="1"/>
    <col min="11" max="11" width="9.625" style="1" customWidth="1"/>
    <col min="12" max="12" width="9.375" style="1" customWidth="1"/>
    <col min="13" max="26" width="7.75" style="1" customWidth="1"/>
    <col min="27" max="16384" width="9" style="1"/>
  </cols>
  <sheetData>
    <row r="2" spans="1:33" x14ac:dyDescent="0.2">
      <c r="L2" s="39"/>
      <c r="M2" s="39"/>
      <c r="N2" s="39"/>
      <c r="O2" s="39"/>
      <c r="P2" s="39"/>
      <c r="Q2" s="39"/>
      <c r="R2" s="39"/>
      <c r="S2" s="39"/>
    </row>
    <row r="3" spans="1:33" s="31" customFormat="1" ht="26.25" customHeight="1" x14ac:dyDescent="0.2">
      <c r="A3" s="29" t="s">
        <v>13</v>
      </c>
      <c r="B3" s="30"/>
      <c r="K3" s="32" t="s">
        <v>18</v>
      </c>
      <c r="L3" s="33"/>
    </row>
    <row r="4" spans="1:33" ht="26.25" customHeight="1" x14ac:dyDescent="0.2">
      <c r="A4" s="4"/>
      <c r="B4" s="5"/>
      <c r="K4" s="4"/>
      <c r="L4" s="5"/>
    </row>
    <row r="6" spans="1:33" s="6" customFormat="1" ht="20.25" customHeight="1" x14ac:dyDescent="0.2">
      <c r="A6" s="45" t="s">
        <v>7</v>
      </c>
      <c r="B6" s="43"/>
      <c r="C6" s="45" t="s">
        <v>11</v>
      </c>
      <c r="D6" s="42"/>
      <c r="E6" s="42"/>
      <c r="F6" s="42"/>
      <c r="G6" s="42"/>
      <c r="H6" s="42"/>
      <c r="I6" s="43"/>
      <c r="K6" s="44" t="s">
        <v>7</v>
      </c>
      <c r="L6" s="44"/>
      <c r="M6" s="45" t="s">
        <v>19</v>
      </c>
      <c r="N6" s="42"/>
      <c r="O6" s="42"/>
      <c r="P6" s="42"/>
      <c r="Q6" s="42"/>
      <c r="R6" s="42"/>
      <c r="S6" s="42"/>
      <c r="T6" s="41" t="s">
        <v>20</v>
      </c>
      <c r="U6" s="42"/>
      <c r="V6" s="42"/>
      <c r="W6" s="42"/>
      <c r="X6" s="42"/>
      <c r="Y6" s="42"/>
      <c r="Z6" s="43"/>
    </row>
    <row r="7" spans="1:33" s="6" customFormat="1" ht="20.25" customHeight="1" x14ac:dyDescent="0.2">
      <c r="A7" s="7" t="s">
        <v>9</v>
      </c>
      <c r="B7" s="8" t="s">
        <v>8</v>
      </c>
      <c r="C7" s="9" t="s">
        <v>0</v>
      </c>
      <c r="D7" s="9" t="s">
        <v>1</v>
      </c>
      <c r="E7" s="9" t="s">
        <v>2</v>
      </c>
      <c r="F7" s="9" t="s">
        <v>3</v>
      </c>
      <c r="G7" s="9" t="s">
        <v>4</v>
      </c>
      <c r="H7" s="9" t="s">
        <v>5</v>
      </c>
      <c r="I7" s="9" t="s">
        <v>6</v>
      </c>
      <c r="K7" s="7" t="s">
        <v>9</v>
      </c>
      <c r="L7" s="8" t="s">
        <v>8</v>
      </c>
      <c r="M7" s="9" t="s">
        <v>0</v>
      </c>
      <c r="N7" s="9" t="s">
        <v>1</v>
      </c>
      <c r="O7" s="9" t="s">
        <v>2</v>
      </c>
      <c r="P7" s="9" t="s">
        <v>3</v>
      </c>
      <c r="Q7" s="9" t="s">
        <v>4</v>
      </c>
      <c r="R7" s="9" t="s">
        <v>5</v>
      </c>
      <c r="S7" s="10" t="s">
        <v>6</v>
      </c>
      <c r="T7" s="11" t="s">
        <v>0</v>
      </c>
      <c r="U7" s="9" t="s">
        <v>1</v>
      </c>
      <c r="V7" s="9" t="s">
        <v>2</v>
      </c>
      <c r="W7" s="9" t="s">
        <v>3</v>
      </c>
      <c r="X7" s="9" t="s">
        <v>4</v>
      </c>
      <c r="Y7" s="9" t="s">
        <v>5</v>
      </c>
      <c r="Z7" s="9" t="s">
        <v>6</v>
      </c>
    </row>
    <row r="8" spans="1:33" ht="20.25" customHeight="1" x14ac:dyDescent="0.2">
      <c r="A8" s="46" t="s">
        <v>10</v>
      </c>
      <c r="B8" s="12">
        <v>30</v>
      </c>
      <c r="C8" s="13">
        <v>0.13</v>
      </c>
      <c r="D8" s="13">
        <v>0.26</v>
      </c>
      <c r="E8" s="13">
        <v>0.34</v>
      </c>
      <c r="F8" s="13">
        <v>0.42</v>
      </c>
      <c r="G8" s="13">
        <v>0.5</v>
      </c>
      <c r="H8" s="13">
        <v>0.57999999999999996</v>
      </c>
      <c r="I8" s="13">
        <v>0.78</v>
      </c>
      <c r="J8" s="14"/>
      <c r="K8" s="40" t="s">
        <v>10</v>
      </c>
      <c r="L8" s="12">
        <v>30</v>
      </c>
      <c r="M8" s="13">
        <f t="shared" ref="M8:S13" si="0">C8*0.6*2.45</f>
        <v>0.19110000000000002</v>
      </c>
      <c r="N8" s="13">
        <f t="shared" si="0"/>
        <v>0.38220000000000004</v>
      </c>
      <c r="O8" s="13">
        <f t="shared" si="0"/>
        <v>0.49980000000000008</v>
      </c>
      <c r="P8" s="13">
        <f t="shared" si="0"/>
        <v>0.61740000000000006</v>
      </c>
      <c r="Q8" s="13">
        <f t="shared" si="0"/>
        <v>0.73499999999999999</v>
      </c>
      <c r="R8" s="13">
        <f t="shared" si="0"/>
        <v>0.85260000000000002</v>
      </c>
      <c r="S8" s="15">
        <f t="shared" si="0"/>
        <v>1.1466000000000001</v>
      </c>
      <c r="T8" s="16">
        <v>0.25</v>
      </c>
      <c r="U8" s="13">
        <v>0.49</v>
      </c>
      <c r="V8" s="13">
        <v>0.64</v>
      </c>
      <c r="W8" s="13">
        <v>0.79</v>
      </c>
      <c r="X8" s="13">
        <v>0.94</v>
      </c>
      <c r="Y8" s="13">
        <v>1.08</v>
      </c>
      <c r="Z8" s="13">
        <v>1.47</v>
      </c>
      <c r="AA8" s="34">
        <f>(T8-M8)/T8</f>
        <v>0.23559999999999992</v>
      </c>
      <c r="AB8" s="34">
        <f t="shared" ref="AB8:AG8" si="1">(U8-N8)/U8</f>
        <v>0.21999999999999992</v>
      </c>
      <c r="AC8" s="34">
        <f t="shared" si="1"/>
        <v>0.21906249999999988</v>
      </c>
      <c r="AD8" s="34">
        <f t="shared" si="1"/>
        <v>0.21848101265822781</v>
      </c>
      <c r="AE8" s="34">
        <f t="shared" si="1"/>
        <v>0.21808510638297871</v>
      </c>
      <c r="AF8" s="34">
        <f t="shared" si="1"/>
        <v>0.21055555555555558</v>
      </c>
      <c r="AG8" s="34">
        <f t="shared" si="1"/>
        <v>0.21999999999999995</v>
      </c>
    </row>
    <row r="9" spans="1:33" ht="20.25" customHeight="1" x14ac:dyDescent="0.2">
      <c r="A9" s="47"/>
      <c r="B9" s="17">
        <v>60</v>
      </c>
      <c r="C9" s="18">
        <v>0.16</v>
      </c>
      <c r="D9" s="18">
        <v>0.32</v>
      </c>
      <c r="E9" s="18">
        <v>0.42</v>
      </c>
      <c r="F9" s="18">
        <v>0.52</v>
      </c>
      <c r="G9" s="18">
        <v>0.61</v>
      </c>
      <c r="H9" s="18">
        <v>0.71</v>
      </c>
      <c r="I9" s="18">
        <v>0.96</v>
      </c>
      <c r="J9" s="14"/>
      <c r="K9" s="40"/>
      <c r="L9" s="17">
        <v>60</v>
      </c>
      <c r="M9" s="18">
        <f t="shared" si="0"/>
        <v>0.23520000000000002</v>
      </c>
      <c r="N9" s="18">
        <f t="shared" si="0"/>
        <v>0.47040000000000004</v>
      </c>
      <c r="O9" s="18">
        <f t="shared" si="0"/>
        <v>0.61740000000000006</v>
      </c>
      <c r="P9" s="18">
        <f t="shared" si="0"/>
        <v>0.76440000000000008</v>
      </c>
      <c r="Q9" s="18">
        <f t="shared" si="0"/>
        <v>0.89670000000000005</v>
      </c>
      <c r="R9" s="18">
        <f t="shared" si="0"/>
        <v>1.0437000000000001</v>
      </c>
      <c r="S9" s="19">
        <f t="shared" si="0"/>
        <v>1.4112</v>
      </c>
      <c r="T9" s="20">
        <v>0.3</v>
      </c>
      <c r="U9" s="18">
        <v>0.6</v>
      </c>
      <c r="V9" s="18">
        <v>0.78</v>
      </c>
      <c r="W9" s="18">
        <v>0.96</v>
      </c>
      <c r="X9" s="18">
        <v>1.1399999999999999</v>
      </c>
      <c r="Y9" s="18">
        <v>1.32</v>
      </c>
      <c r="Z9" s="18">
        <v>1.8</v>
      </c>
      <c r="AA9" s="34">
        <f t="shared" ref="AA9:AA13" si="2">(T9-M9)/T9</f>
        <v>0.21599999999999991</v>
      </c>
      <c r="AB9" s="34">
        <f t="shared" ref="AB9:AB13" si="3">(U9-N9)/U9</f>
        <v>0.21599999999999991</v>
      </c>
      <c r="AC9" s="34">
        <f t="shared" ref="AC9:AC13" si="4">(V9-O9)/V9</f>
        <v>0.20846153846153842</v>
      </c>
      <c r="AD9" s="34">
        <f t="shared" ref="AD9:AD13" si="5">(W9-P9)/W9</f>
        <v>0.20374999999999988</v>
      </c>
      <c r="AE9" s="34">
        <f t="shared" ref="AE9:AE13" si="6">(X9-Q9)/X9</f>
        <v>0.21342105263157884</v>
      </c>
      <c r="AF9" s="34">
        <f t="shared" ref="AF9:AF13" si="7">(Y9-R9)/Y9</f>
        <v>0.20931818181818179</v>
      </c>
      <c r="AG9" s="34">
        <f t="shared" ref="AG9:AG13" si="8">(Z9-S9)/Z9</f>
        <v>0.21600000000000003</v>
      </c>
    </row>
    <row r="10" spans="1:33" ht="20.25" customHeight="1" x14ac:dyDescent="0.2">
      <c r="A10" s="47"/>
      <c r="B10" s="17">
        <v>90</v>
      </c>
      <c r="C10" s="18">
        <v>0.19</v>
      </c>
      <c r="D10" s="18">
        <v>0.38</v>
      </c>
      <c r="E10" s="18">
        <v>0.5</v>
      </c>
      <c r="F10" s="18">
        <v>0.61</v>
      </c>
      <c r="G10" s="18">
        <v>0.73</v>
      </c>
      <c r="H10" s="18">
        <v>0.84</v>
      </c>
      <c r="I10" s="18">
        <v>1.1399999999999999</v>
      </c>
      <c r="J10" s="14"/>
      <c r="K10" s="40"/>
      <c r="L10" s="17">
        <v>90</v>
      </c>
      <c r="M10" s="18">
        <f t="shared" si="0"/>
        <v>0.27929999999999999</v>
      </c>
      <c r="N10" s="18">
        <f t="shared" si="0"/>
        <v>0.55859999999999999</v>
      </c>
      <c r="O10" s="18">
        <f t="shared" si="0"/>
        <v>0.73499999999999999</v>
      </c>
      <c r="P10" s="18">
        <f t="shared" si="0"/>
        <v>0.89670000000000005</v>
      </c>
      <c r="Q10" s="18">
        <f t="shared" si="0"/>
        <v>1.0731000000000002</v>
      </c>
      <c r="R10" s="18">
        <f t="shared" si="0"/>
        <v>1.2348000000000001</v>
      </c>
      <c r="S10" s="19">
        <f t="shared" si="0"/>
        <v>1.6758</v>
      </c>
      <c r="T10" s="20">
        <v>0.37</v>
      </c>
      <c r="U10" s="18">
        <v>0.73</v>
      </c>
      <c r="V10" s="18">
        <v>0.95</v>
      </c>
      <c r="W10" s="18">
        <v>1.17</v>
      </c>
      <c r="X10" s="18">
        <v>1.39</v>
      </c>
      <c r="Y10" s="18">
        <v>1.61</v>
      </c>
      <c r="Z10" s="18">
        <v>2.19</v>
      </c>
      <c r="AA10" s="34">
        <f t="shared" si="2"/>
        <v>0.24513513513513516</v>
      </c>
      <c r="AB10" s="34">
        <f t="shared" si="3"/>
        <v>0.2347945205479452</v>
      </c>
      <c r="AC10" s="34">
        <f t="shared" si="4"/>
        <v>0.22631578947368419</v>
      </c>
      <c r="AD10" s="34">
        <f t="shared" si="5"/>
        <v>0.23358974358974349</v>
      </c>
      <c r="AE10" s="34">
        <f t="shared" si="6"/>
        <v>0.22798561151079119</v>
      </c>
      <c r="AF10" s="34">
        <f t="shared" si="7"/>
        <v>0.23304347826086955</v>
      </c>
      <c r="AG10" s="34">
        <f t="shared" si="8"/>
        <v>0.2347945205479452</v>
      </c>
    </row>
    <row r="11" spans="1:33" ht="20.25" customHeight="1" x14ac:dyDescent="0.2">
      <c r="A11" s="47"/>
      <c r="B11" s="17">
        <v>120</v>
      </c>
      <c r="C11" s="18">
        <v>0.24</v>
      </c>
      <c r="D11" s="18">
        <v>0.47</v>
      </c>
      <c r="E11" s="18">
        <v>0.62</v>
      </c>
      <c r="F11" s="18">
        <v>0.76</v>
      </c>
      <c r="G11" s="18">
        <v>0.9</v>
      </c>
      <c r="H11" s="18">
        <v>1.04</v>
      </c>
      <c r="I11" s="18">
        <v>1.41</v>
      </c>
      <c r="J11" s="14"/>
      <c r="K11" s="40"/>
      <c r="L11" s="17">
        <v>120</v>
      </c>
      <c r="M11" s="18">
        <f t="shared" si="0"/>
        <v>0.3528</v>
      </c>
      <c r="N11" s="18">
        <f t="shared" si="0"/>
        <v>0.69089999999999996</v>
      </c>
      <c r="O11" s="18">
        <f t="shared" si="0"/>
        <v>0.9114000000000001</v>
      </c>
      <c r="P11" s="18">
        <f t="shared" si="0"/>
        <v>1.1172</v>
      </c>
      <c r="Q11" s="18">
        <f t="shared" si="0"/>
        <v>1.3230000000000002</v>
      </c>
      <c r="R11" s="18">
        <f t="shared" si="0"/>
        <v>1.5288000000000002</v>
      </c>
      <c r="S11" s="19">
        <f t="shared" si="0"/>
        <v>2.0727000000000002</v>
      </c>
      <c r="T11" s="20">
        <v>0.44</v>
      </c>
      <c r="U11" s="18">
        <v>0.88</v>
      </c>
      <c r="V11" s="18">
        <v>1.1499999999999999</v>
      </c>
      <c r="W11" s="18">
        <v>1.41</v>
      </c>
      <c r="X11" s="18">
        <v>1.68</v>
      </c>
      <c r="Y11" s="18">
        <v>1.94</v>
      </c>
      <c r="Z11" s="18">
        <v>2.64</v>
      </c>
      <c r="AA11" s="34">
        <f t="shared" si="2"/>
        <v>0.19818181818181818</v>
      </c>
      <c r="AB11" s="34">
        <f t="shared" si="3"/>
        <v>0.21488636363636368</v>
      </c>
      <c r="AC11" s="34">
        <f t="shared" si="4"/>
        <v>0.20747826086956506</v>
      </c>
      <c r="AD11" s="34">
        <f t="shared" si="5"/>
        <v>0.20765957446808508</v>
      </c>
      <c r="AE11" s="34">
        <f t="shared" si="6"/>
        <v>0.21249999999999986</v>
      </c>
      <c r="AF11" s="34">
        <f t="shared" si="7"/>
        <v>0.21195876288659785</v>
      </c>
      <c r="AG11" s="34">
        <f t="shared" si="8"/>
        <v>0.2148863636363636</v>
      </c>
    </row>
    <row r="12" spans="1:33" ht="20.25" customHeight="1" x14ac:dyDescent="0.2">
      <c r="A12" s="47"/>
      <c r="B12" s="17">
        <v>150</v>
      </c>
      <c r="C12" s="18">
        <v>0.28000000000000003</v>
      </c>
      <c r="D12" s="18">
        <v>0.56000000000000005</v>
      </c>
      <c r="E12" s="18">
        <v>0.73</v>
      </c>
      <c r="F12" s="18">
        <v>0.9</v>
      </c>
      <c r="G12" s="18">
        <v>1.07</v>
      </c>
      <c r="H12" s="18">
        <v>1.24</v>
      </c>
      <c r="I12" s="18">
        <v>1.68</v>
      </c>
      <c r="J12" s="14"/>
      <c r="K12" s="40"/>
      <c r="L12" s="17">
        <v>150</v>
      </c>
      <c r="M12" s="18">
        <f t="shared" si="0"/>
        <v>0.41160000000000008</v>
      </c>
      <c r="N12" s="18">
        <f t="shared" si="0"/>
        <v>0.82320000000000015</v>
      </c>
      <c r="O12" s="18">
        <f t="shared" si="0"/>
        <v>1.0731000000000002</v>
      </c>
      <c r="P12" s="18">
        <f t="shared" si="0"/>
        <v>1.3230000000000002</v>
      </c>
      <c r="Q12" s="18">
        <f t="shared" si="0"/>
        <v>1.5729000000000002</v>
      </c>
      <c r="R12" s="18">
        <f t="shared" si="0"/>
        <v>1.8228000000000002</v>
      </c>
      <c r="S12" s="19">
        <f t="shared" si="0"/>
        <v>2.4696000000000002</v>
      </c>
      <c r="T12" s="20">
        <v>0.53</v>
      </c>
      <c r="U12" s="18">
        <v>1.06</v>
      </c>
      <c r="V12" s="18">
        <v>1.38</v>
      </c>
      <c r="W12" s="18">
        <v>1.7</v>
      </c>
      <c r="X12" s="18">
        <v>2.02</v>
      </c>
      <c r="Y12" s="18">
        <v>2.34</v>
      </c>
      <c r="Z12" s="18">
        <v>3.18</v>
      </c>
      <c r="AA12" s="34">
        <f t="shared" si="2"/>
        <v>0.22339622641509424</v>
      </c>
      <c r="AB12" s="34">
        <f t="shared" si="3"/>
        <v>0.22339622641509424</v>
      </c>
      <c r="AC12" s="34">
        <f t="shared" si="4"/>
        <v>0.22239130434782592</v>
      </c>
      <c r="AD12" s="34">
        <f t="shared" si="5"/>
        <v>0.22176470588235281</v>
      </c>
      <c r="AE12" s="34">
        <f t="shared" si="6"/>
        <v>0.22133663366336626</v>
      </c>
      <c r="AF12" s="34">
        <f t="shared" si="7"/>
        <v>0.2210256410256409</v>
      </c>
      <c r="AG12" s="34">
        <f t="shared" si="8"/>
        <v>0.2233962264150943</v>
      </c>
    </row>
    <row r="13" spans="1:33" ht="20.25" customHeight="1" x14ac:dyDescent="0.2">
      <c r="A13" s="48"/>
      <c r="B13" s="21">
        <v>180</v>
      </c>
      <c r="C13" s="22">
        <v>0.33</v>
      </c>
      <c r="D13" s="22">
        <v>0.65</v>
      </c>
      <c r="E13" s="22">
        <v>0.85</v>
      </c>
      <c r="F13" s="22">
        <v>1.04</v>
      </c>
      <c r="G13" s="22">
        <v>1.24</v>
      </c>
      <c r="H13" s="22">
        <v>1.43</v>
      </c>
      <c r="I13" s="22">
        <v>1.95</v>
      </c>
      <c r="J13" s="14"/>
      <c r="K13" s="40"/>
      <c r="L13" s="21">
        <v>180</v>
      </c>
      <c r="M13" s="22">
        <f t="shared" si="0"/>
        <v>0.48510000000000003</v>
      </c>
      <c r="N13" s="22">
        <f t="shared" si="0"/>
        <v>0.95550000000000013</v>
      </c>
      <c r="O13" s="22">
        <f t="shared" si="0"/>
        <v>1.2495000000000001</v>
      </c>
      <c r="P13" s="22">
        <f t="shared" si="0"/>
        <v>1.5288000000000002</v>
      </c>
      <c r="Q13" s="22">
        <f t="shared" si="0"/>
        <v>1.8228000000000002</v>
      </c>
      <c r="R13" s="22">
        <f t="shared" si="0"/>
        <v>2.1021000000000001</v>
      </c>
      <c r="S13" s="23">
        <f t="shared" si="0"/>
        <v>2.8664999999999998</v>
      </c>
      <c r="T13" s="24">
        <v>0.62</v>
      </c>
      <c r="U13" s="22">
        <v>1.24</v>
      </c>
      <c r="V13" s="22">
        <v>1.62</v>
      </c>
      <c r="W13" s="22">
        <v>1.99</v>
      </c>
      <c r="X13" s="22">
        <v>2.36</v>
      </c>
      <c r="Y13" s="22">
        <v>2.73</v>
      </c>
      <c r="Z13" s="22">
        <v>3.72</v>
      </c>
      <c r="AA13" s="34">
        <f t="shared" si="2"/>
        <v>0.21758064516129028</v>
      </c>
      <c r="AB13" s="34">
        <f t="shared" si="3"/>
        <v>0.22943548387096763</v>
      </c>
      <c r="AC13" s="34">
        <f t="shared" si="4"/>
        <v>0.22870370370370371</v>
      </c>
      <c r="AD13" s="34">
        <f t="shared" si="5"/>
        <v>0.23175879396984916</v>
      </c>
      <c r="AE13" s="34">
        <f t="shared" si="6"/>
        <v>0.22762711864406768</v>
      </c>
      <c r="AF13" s="34">
        <f t="shared" si="7"/>
        <v>0.22999999999999995</v>
      </c>
      <c r="AG13" s="34">
        <f t="shared" si="8"/>
        <v>0.22943548387096782</v>
      </c>
    </row>
    <row r="14" spans="1:33" ht="20.25" customHeight="1" x14ac:dyDescent="0.2">
      <c r="A14" s="7" t="s">
        <v>9</v>
      </c>
      <c r="B14" s="8" t="s">
        <v>8</v>
      </c>
      <c r="C14" s="25">
        <v>1</v>
      </c>
      <c r="D14" s="25">
        <v>2</v>
      </c>
      <c r="E14" s="25">
        <v>3</v>
      </c>
      <c r="F14" s="25">
        <v>4</v>
      </c>
      <c r="G14" s="25">
        <v>5</v>
      </c>
      <c r="H14" s="25">
        <v>6</v>
      </c>
      <c r="I14" s="25">
        <v>7</v>
      </c>
      <c r="K14" s="7" t="s">
        <v>9</v>
      </c>
      <c r="L14" s="8" t="s">
        <v>8</v>
      </c>
      <c r="M14" s="25">
        <v>1</v>
      </c>
      <c r="N14" s="25">
        <v>2</v>
      </c>
      <c r="O14" s="25">
        <v>3</v>
      </c>
      <c r="P14" s="25">
        <v>4</v>
      </c>
      <c r="Q14" s="25">
        <v>5</v>
      </c>
      <c r="R14" s="25">
        <v>6</v>
      </c>
      <c r="S14" s="26">
        <v>7</v>
      </c>
      <c r="T14" s="27">
        <v>1</v>
      </c>
      <c r="U14" s="25">
        <v>2</v>
      </c>
      <c r="V14" s="25">
        <v>3</v>
      </c>
      <c r="W14" s="25">
        <v>4</v>
      </c>
      <c r="X14" s="25">
        <v>5</v>
      </c>
      <c r="Y14" s="25">
        <v>6</v>
      </c>
      <c r="Z14" s="25">
        <v>7</v>
      </c>
    </row>
    <row r="15" spans="1:33" ht="20.25" customHeight="1" x14ac:dyDescent="0.2">
      <c r="A15" s="46" t="s">
        <v>12</v>
      </c>
      <c r="B15" s="12">
        <v>30</v>
      </c>
      <c r="C15" s="13">
        <v>0.03</v>
      </c>
      <c r="D15" s="13">
        <v>0.06</v>
      </c>
      <c r="E15" s="13">
        <v>0.08</v>
      </c>
      <c r="F15" s="13">
        <v>0.1</v>
      </c>
      <c r="G15" s="13">
        <v>0.11</v>
      </c>
      <c r="H15" s="13">
        <v>0.13</v>
      </c>
      <c r="I15" s="13">
        <v>0.18</v>
      </c>
      <c r="K15" s="40" t="s">
        <v>12</v>
      </c>
      <c r="L15" s="12">
        <v>30</v>
      </c>
      <c r="M15" s="13">
        <f t="shared" ref="M15:S20" si="9">C15*0.6*2.45</f>
        <v>4.41E-2</v>
      </c>
      <c r="N15" s="13">
        <f t="shared" si="9"/>
        <v>8.8200000000000001E-2</v>
      </c>
      <c r="O15" s="13">
        <f t="shared" si="9"/>
        <v>0.11760000000000001</v>
      </c>
      <c r="P15" s="13">
        <f t="shared" si="9"/>
        <v>0.14699999999999999</v>
      </c>
      <c r="Q15" s="13">
        <f t="shared" si="9"/>
        <v>0.16170000000000001</v>
      </c>
      <c r="R15" s="13">
        <f t="shared" si="9"/>
        <v>0.19110000000000002</v>
      </c>
      <c r="S15" s="15">
        <f t="shared" si="9"/>
        <v>0.2646</v>
      </c>
      <c r="T15" s="16">
        <v>0.06</v>
      </c>
      <c r="U15" s="13">
        <f>D15*0.6*2.45*1.4</f>
        <v>0.12347999999999999</v>
      </c>
      <c r="V15" s="13">
        <f>E15*0.6*2.45*1.4</f>
        <v>0.16464000000000001</v>
      </c>
      <c r="W15" s="13">
        <v>0.19</v>
      </c>
      <c r="X15" s="13">
        <v>0.23</v>
      </c>
      <c r="Y15" s="13">
        <v>0.26</v>
      </c>
      <c r="Z15" s="13">
        <v>0.36</v>
      </c>
      <c r="AA15" s="34">
        <f>(T15-M15)/T15</f>
        <v>0.26499999999999996</v>
      </c>
      <c r="AB15" s="34">
        <f t="shared" ref="AB15:AB20" si="10">(U15-N15)/U15</f>
        <v>0.28571428571428564</v>
      </c>
      <c r="AC15" s="34">
        <f t="shared" ref="AC15:AC20" si="11">(V15-O15)/V15</f>
        <v>0.2857142857142857</v>
      </c>
      <c r="AD15" s="34">
        <f t="shared" ref="AD15:AD20" si="12">(W15-P15)/W15</f>
        <v>0.22631578947368428</v>
      </c>
      <c r="AE15" s="34">
        <f t="shared" ref="AE15:AE20" si="13">(X15-Q15)/X15</f>
        <v>0.2969565217391304</v>
      </c>
      <c r="AF15" s="34">
        <f t="shared" ref="AF15:AF20" si="14">(Y15-R15)/Y15</f>
        <v>0.26499999999999996</v>
      </c>
      <c r="AG15" s="34">
        <f t="shared" ref="AG15:AG20" si="15">(Z15-S15)/Z15</f>
        <v>0.26499999999999996</v>
      </c>
    </row>
    <row r="16" spans="1:33" ht="20.25" customHeight="1" x14ac:dyDescent="0.2">
      <c r="A16" s="47"/>
      <c r="B16" s="17">
        <v>60</v>
      </c>
      <c r="C16" s="18">
        <v>0.06</v>
      </c>
      <c r="D16" s="18">
        <v>0.12</v>
      </c>
      <c r="E16" s="18">
        <v>0.16</v>
      </c>
      <c r="F16" s="18">
        <v>0.19</v>
      </c>
      <c r="G16" s="18">
        <v>0.23</v>
      </c>
      <c r="H16" s="18">
        <v>0.26</v>
      </c>
      <c r="I16" s="18">
        <v>0.36</v>
      </c>
      <c r="K16" s="40"/>
      <c r="L16" s="17">
        <v>60</v>
      </c>
      <c r="M16" s="18">
        <f t="shared" si="9"/>
        <v>8.8200000000000001E-2</v>
      </c>
      <c r="N16" s="18">
        <f t="shared" si="9"/>
        <v>0.1764</v>
      </c>
      <c r="O16" s="18">
        <f t="shared" si="9"/>
        <v>0.23520000000000002</v>
      </c>
      <c r="P16" s="18">
        <f t="shared" si="9"/>
        <v>0.27929999999999999</v>
      </c>
      <c r="Q16" s="18">
        <f t="shared" si="9"/>
        <v>0.33810000000000007</v>
      </c>
      <c r="R16" s="18">
        <f t="shared" si="9"/>
        <v>0.38220000000000004</v>
      </c>
      <c r="S16" s="19">
        <f t="shared" si="9"/>
        <v>0.5292</v>
      </c>
      <c r="T16" s="20">
        <v>0.12</v>
      </c>
      <c r="U16" s="18">
        <v>0.23</v>
      </c>
      <c r="V16" s="18">
        <v>0.3</v>
      </c>
      <c r="W16" s="18">
        <v>0.37</v>
      </c>
      <c r="X16" s="18">
        <v>0.44</v>
      </c>
      <c r="Y16" s="18">
        <v>0.51</v>
      </c>
      <c r="Z16" s="18">
        <v>0.69</v>
      </c>
      <c r="AA16" s="34">
        <f t="shared" ref="AA16:AA20" si="16">(T16-M16)/T16</f>
        <v>0.26499999999999996</v>
      </c>
      <c r="AB16" s="34">
        <f t="shared" si="10"/>
        <v>0.2330434782608696</v>
      </c>
      <c r="AC16" s="34">
        <f t="shared" si="11"/>
        <v>0.21599999999999991</v>
      </c>
      <c r="AD16" s="34">
        <f t="shared" si="12"/>
        <v>0.24513513513513516</v>
      </c>
      <c r="AE16" s="34">
        <f t="shared" si="13"/>
        <v>0.23159090909090893</v>
      </c>
      <c r="AF16" s="34">
        <f t="shared" si="14"/>
        <v>0.25058823529411756</v>
      </c>
      <c r="AG16" s="34">
        <f t="shared" si="15"/>
        <v>0.23304347826086949</v>
      </c>
    </row>
    <row r="17" spans="1:33" ht="20.25" customHeight="1" x14ac:dyDescent="0.2">
      <c r="A17" s="47"/>
      <c r="B17" s="17">
        <v>90</v>
      </c>
      <c r="C17" s="18">
        <v>7.0000000000000007E-2</v>
      </c>
      <c r="D17" s="18">
        <v>0.14000000000000001</v>
      </c>
      <c r="E17" s="18">
        <v>0.18</v>
      </c>
      <c r="F17" s="18">
        <v>0.22</v>
      </c>
      <c r="G17" s="18">
        <v>0.27</v>
      </c>
      <c r="H17" s="18">
        <v>0.31</v>
      </c>
      <c r="I17" s="18">
        <v>0.42</v>
      </c>
      <c r="K17" s="40"/>
      <c r="L17" s="17">
        <v>90</v>
      </c>
      <c r="M17" s="18">
        <f t="shared" si="9"/>
        <v>0.10290000000000002</v>
      </c>
      <c r="N17" s="18">
        <f t="shared" si="9"/>
        <v>0.20580000000000004</v>
      </c>
      <c r="O17" s="18">
        <f t="shared" si="9"/>
        <v>0.2646</v>
      </c>
      <c r="P17" s="18">
        <f t="shared" si="9"/>
        <v>0.32340000000000002</v>
      </c>
      <c r="Q17" s="18">
        <f t="shared" si="9"/>
        <v>0.39690000000000003</v>
      </c>
      <c r="R17" s="18">
        <f t="shared" si="9"/>
        <v>0.45570000000000005</v>
      </c>
      <c r="S17" s="19">
        <f t="shared" si="9"/>
        <v>0.61740000000000006</v>
      </c>
      <c r="T17" s="20">
        <v>0.14000000000000001</v>
      </c>
      <c r="U17" s="18">
        <v>0.28000000000000003</v>
      </c>
      <c r="V17" s="18">
        <v>0.36</v>
      </c>
      <c r="W17" s="18">
        <v>0.45</v>
      </c>
      <c r="X17" s="18">
        <v>0.53</v>
      </c>
      <c r="Y17" s="18">
        <v>0.62</v>
      </c>
      <c r="Z17" s="18">
        <v>0.84</v>
      </c>
      <c r="AA17" s="34">
        <f t="shared" si="16"/>
        <v>0.26499999999999996</v>
      </c>
      <c r="AB17" s="34">
        <f t="shared" si="10"/>
        <v>0.26499999999999996</v>
      </c>
      <c r="AC17" s="34">
        <f t="shared" si="11"/>
        <v>0.26499999999999996</v>
      </c>
      <c r="AD17" s="34">
        <f t="shared" si="12"/>
        <v>0.28133333333333332</v>
      </c>
      <c r="AE17" s="34">
        <f t="shared" si="13"/>
        <v>0.25113207547169808</v>
      </c>
      <c r="AF17" s="34">
        <f t="shared" si="14"/>
        <v>0.2649999999999999</v>
      </c>
      <c r="AG17" s="34">
        <f t="shared" si="15"/>
        <v>0.2649999999999999</v>
      </c>
    </row>
    <row r="18" spans="1:33" ht="20.25" customHeight="1" x14ac:dyDescent="0.2">
      <c r="A18" s="47"/>
      <c r="B18" s="17">
        <v>120</v>
      </c>
      <c r="C18" s="18">
        <v>0.09</v>
      </c>
      <c r="D18" s="18">
        <v>0.17</v>
      </c>
      <c r="E18" s="18">
        <v>0.22</v>
      </c>
      <c r="F18" s="18">
        <v>0.27</v>
      </c>
      <c r="G18" s="18">
        <v>0.32</v>
      </c>
      <c r="H18" s="18">
        <v>0.37</v>
      </c>
      <c r="I18" s="18">
        <v>0.51</v>
      </c>
      <c r="K18" s="40"/>
      <c r="L18" s="17">
        <v>120</v>
      </c>
      <c r="M18" s="18">
        <f t="shared" si="9"/>
        <v>0.1323</v>
      </c>
      <c r="N18" s="18">
        <f t="shared" si="9"/>
        <v>0.24990000000000004</v>
      </c>
      <c r="O18" s="18">
        <f t="shared" si="9"/>
        <v>0.32340000000000002</v>
      </c>
      <c r="P18" s="18">
        <f t="shared" si="9"/>
        <v>0.39690000000000003</v>
      </c>
      <c r="Q18" s="18">
        <f t="shared" si="9"/>
        <v>0.47040000000000004</v>
      </c>
      <c r="R18" s="18">
        <f t="shared" si="9"/>
        <v>0.54390000000000005</v>
      </c>
      <c r="S18" s="19">
        <f t="shared" si="9"/>
        <v>0.74970000000000003</v>
      </c>
      <c r="T18" s="20">
        <v>0.17</v>
      </c>
      <c r="U18" s="18">
        <v>0.33</v>
      </c>
      <c r="V18" s="18">
        <v>0.43</v>
      </c>
      <c r="W18" s="18">
        <v>0.53</v>
      </c>
      <c r="X18" s="18">
        <v>0.63</v>
      </c>
      <c r="Y18" s="18">
        <v>0.73</v>
      </c>
      <c r="Z18" s="18">
        <v>0.99</v>
      </c>
      <c r="AA18" s="34">
        <f t="shared" si="16"/>
        <v>0.221764705882353</v>
      </c>
      <c r="AB18" s="34">
        <f t="shared" si="10"/>
        <v>0.24272727272727265</v>
      </c>
      <c r="AC18" s="34">
        <f t="shared" si="11"/>
        <v>0.24790697674418599</v>
      </c>
      <c r="AD18" s="34">
        <f t="shared" si="12"/>
        <v>0.25113207547169808</v>
      </c>
      <c r="AE18" s="34">
        <f t="shared" si="13"/>
        <v>0.2533333333333333</v>
      </c>
      <c r="AF18" s="34">
        <f t="shared" si="14"/>
        <v>0.25493150684931498</v>
      </c>
      <c r="AG18" s="34">
        <f t="shared" si="15"/>
        <v>0.24272727272727268</v>
      </c>
    </row>
    <row r="19" spans="1:33" ht="20.25" customHeight="1" x14ac:dyDescent="0.2">
      <c r="A19" s="47"/>
      <c r="B19" s="17">
        <v>150</v>
      </c>
      <c r="C19" s="18">
        <v>0.1</v>
      </c>
      <c r="D19" s="18">
        <v>0.19</v>
      </c>
      <c r="E19" s="18">
        <v>0.25</v>
      </c>
      <c r="F19" s="18">
        <v>0.3</v>
      </c>
      <c r="G19" s="18">
        <v>0.36</v>
      </c>
      <c r="H19" s="18">
        <v>0.42</v>
      </c>
      <c r="I19" s="18">
        <v>0.56999999999999995</v>
      </c>
      <c r="K19" s="40"/>
      <c r="L19" s="17">
        <v>150</v>
      </c>
      <c r="M19" s="18">
        <f t="shared" si="9"/>
        <v>0.14699999999999999</v>
      </c>
      <c r="N19" s="18">
        <f t="shared" si="9"/>
        <v>0.27929999999999999</v>
      </c>
      <c r="O19" s="18">
        <f t="shared" si="9"/>
        <v>0.36749999999999999</v>
      </c>
      <c r="P19" s="18">
        <f t="shared" si="9"/>
        <v>0.441</v>
      </c>
      <c r="Q19" s="18">
        <f t="shared" si="9"/>
        <v>0.5292</v>
      </c>
      <c r="R19" s="18">
        <f t="shared" si="9"/>
        <v>0.61740000000000006</v>
      </c>
      <c r="S19" s="19">
        <f t="shared" si="9"/>
        <v>0.83789999999999998</v>
      </c>
      <c r="T19" s="20">
        <v>0.19</v>
      </c>
      <c r="U19" s="18">
        <v>0.38</v>
      </c>
      <c r="V19" s="18">
        <v>0.49</v>
      </c>
      <c r="W19" s="18">
        <v>0.61</v>
      </c>
      <c r="X19" s="18">
        <v>0.72</v>
      </c>
      <c r="Y19" s="18">
        <v>0.84</v>
      </c>
      <c r="Z19" s="18">
        <v>1.1399999999999999</v>
      </c>
      <c r="AA19" s="34">
        <f t="shared" si="16"/>
        <v>0.22631578947368428</v>
      </c>
      <c r="AB19" s="34">
        <f t="shared" si="10"/>
        <v>0.26500000000000001</v>
      </c>
      <c r="AC19" s="34">
        <f t="shared" si="11"/>
        <v>0.25</v>
      </c>
      <c r="AD19" s="34">
        <f t="shared" si="12"/>
        <v>0.27704918032786885</v>
      </c>
      <c r="AE19" s="34">
        <f t="shared" si="13"/>
        <v>0.26499999999999996</v>
      </c>
      <c r="AF19" s="34">
        <f t="shared" si="14"/>
        <v>0.2649999999999999</v>
      </c>
      <c r="AG19" s="34">
        <f t="shared" si="15"/>
        <v>0.26499999999999996</v>
      </c>
    </row>
    <row r="20" spans="1:33" ht="20.25" customHeight="1" x14ac:dyDescent="0.2">
      <c r="A20" s="48"/>
      <c r="B20" s="21">
        <v>180</v>
      </c>
      <c r="C20" s="22">
        <v>0.11</v>
      </c>
      <c r="D20" s="22">
        <v>0.22</v>
      </c>
      <c r="E20" s="22">
        <v>0.28999999999999998</v>
      </c>
      <c r="F20" s="22">
        <v>0.35</v>
      </c>
      <c r="G20" s="22">
        <v>0.42</v>
      </c>
      <c r="H20" s="22">
        <v>0.48</v>
      </c>
      <c r="I20" s="22">
        <v>0.66</v>
      </c>
      <c r="K20" s="40"/>
      <c r="L20" s="21">
        <v>180</v>
      </c>
      <c r="M20" s="22">
        <f t="shared" si="9"/>
        <v>0.16170000000000001</v>
      </c>
      <c r="N20" s="22">
        <f t="shared" si="9"/>
        <v>0.32340000000000002</v>
      </c>
      <c r="O20" s="22">
        <f t="shared" si="9"/>
        <v>0.42630000000000001</v>
      </c>
      <c r="P20" s="22">
        <f t="shared" si="9"/>
        <v>0.51450000000000007</v>
      </c>
      <c r="Q20" s="22">
        <f t="shared" si="9"/>
        <v>0.61740000000000006</v>
      </c>
      <c r="R20" s="22">
        <f t="shared" si="9"/>
        <v>0.7056</v>
      </c>
      <c r="S20" s="23">
        <f t="shared" si="9"/>
        <v>0.97020000000000006</v>
      </c>
      <c r="T20" s="24">
        <v>0.22</v>
      </c>
      <c r="U20" s="22">
        <v>0.43</v>
      </c>
      <c r="V20" s="22">
        <v>0.56000000000000005</v>
      </c>
      <c r="W20" s="22">
        <v>0.69</v>
      </c>
      <c r="X20" s="22">
        <v>0.82</v>
      </c>
      <c r="Y20" s="22">
        <v>0.95</v>
      </c>
      <c r="Z20" s="22">
        <v>1.29</v>
      </c>
      <c r="AA20" s="34">
        <f t="shared" si="16"/>
        <v>0.26499999999999996</v>
      </c>
      <c r="AB20" s="34">
        <f t="shared" si="10"/>
        <v>0.24790697674418599</v>
      </c>
      <c r="AC20" s="34">
        <f t="shared" si="11"/>
        <v>0.23875000000000005</v>
      </c>
      <c r="AD20" s="34">
        <f t="shared" si="12"/>
        <v>0.25434782608695639</v>
      </c>
      <c r="AE20" s="34">
        <f t="shared" si="13"/>
        <v>0.2470731707317072</v>
      </c>
      <c r="AF20" s="34">
        <f t="shared" si="14"/>
        <v>0.2572631578947368</v>
      </c>
      <c r="AG20" s="34">
        <f t="shared" si="15"/>
        <v>0.24790697674418602</v>
      </c>
    </row>
    <row r="21" spans="1:33" ht="27" customHeight="1" x14ac:dyDescent="0.2"/>
    <row r="22" spans="1:33" ht="21" customHeight="1" x14ac:dyDescent="0.2"/>
    <row r="23" spans="1:33" ht="21" hidden="1" customHeight="1" x14ac:dyDescent="0.2">
      <c r="K23" s="2" t="s">
        <v>15</v>
      </c>
      <c r="L23" s="3"/>
    </row>
    <row r="24" spans="1:33" hidden="1" x14ac:dyDescent="0.2"/>
    <row r="25" spans="1:33" ht="18" hidden="1" customHeight="1" x14ac:dyDescent="0.2">
      <c r="K25" s="44" t="s">
        <v>7</v>
      </c>
      <c r="L25" s="44"/>
      <c r="M25" s="45" t="s">
        <v>16</v>
      </c>
      <c r="N25" s="42"/>
      <c r="O25" s="42"/>
      <c r="P25" s="42"/>
      <c r="Q25" s="42"/>
      <c r="R25" s="42"/>
      <c r="S25" s="42"/>
      <c r="T25" s="41" t="s">
        <v>17</v>
      </c>
      <c r="U25" s="42"/>
      <c r="V25" s="42"/>
      <c r="W25" s="42"/>
      <c r="X25" s="42"/>
      <c r="Y25" s="42"/>
      <c r="Z25" s="43"/>
    </row>
    <row r="26" spans="1:33" ht="18" hidden="1" customHeight="1" x14ac:dyDescent="0.2">
      <c r="K26" s="7" t="s">
        <v>9</v>
      </c>
      <c r="L26" s="8" t="s">
        <v>8</v>
      </c>
      <c r="M26" s="9" t="s">
        <v>0</v>
      </c>
      <c r="N26" s="9" t="s">
        <v>1</v>
      </c>
      <c r="O26" s="9" t="s">
        <v>2</v>
      </c>
      <c r="P26" s="9" t="s">
        <v>3</v>
      </c>
      <c r="Q26" s="9" t="s">
        <v>4</v>
      </c>
      <c r="R26" s="9" t="s">
        <v>5</v>
      </c>
      <c r="S26" s="10" t="s">
        <v>6</v>
      </c>
      <c r="T26" s="11" t="s">
        <v>0</v>
      </c>
      <c r="U26" s="9" t="s">
        <v>1</v>
      </c>
      <c r="V26" s="9" t="s">
        <v>2</v>
      </c>
      <c r="W26" s="9" t="s">
        <v>3</v>
      </c>
      <c r="X26" s="9" t="s">
        <v>4</v>
      </c>
      <c r="Y26" s="9" t="s">
        <v>5</v>
      </c>
      <c r="Z26" s="9" t="s">
        <v>6</v>
      </c>
    </row>
    <row r="27" spans="1:33" ht="18" hidden="1" customHeight="1" x14ac:dyDescent="0.2">
      <c r="K27" s="40" t="s">
        <v>10</v>
      </c>
      <c r="L27" s="12">
        <v>30</v>
      </c>
      <c r="M27" s="13">
        <f t="shared" ref="M27:S32" si="17">C8*0.6*1.2</f>
        <v>9.3600000000000003E-2</v>
      </c>
      <c r="N27" s="13">
        <f t="shared" si="17"/>
        <v>0.18720000000000001</v>
      </c>
      <c r="O27" s="13">
        <f t="shared" si="17"/>
        <v>0.24480000000000002</v>
      </c>
      <c r="P27" s="13">
        <f t="shared" si="17"/>
        <v>0.3024</v>
      </c>
      <c r="Q27" s="13">
        <f t="shared" si="17"/>
        <v>0.36</v>
      </c>
      <c r="R27" s="13">
        <f t="shared" si="17"/>
        <v>0.41759999999999997</v>
      </c>
      <c r="S27" s="15">
        <f t="shared" si="17"/>
        <v>0.56159999999999999</v>
      </c>
      <c r="T27" s="16">
        <f t="shared" ref="T27:Z32" si="18">C8*0.6*1.2*1.4*1.3</f>
        <v>0.170352</v>
      </c>
      <c r="U27" s="13">
        <f t="shared" si="18"/>
        <v>0.34070400000000001</v>
      </c>
      <c r="V27" s="13">
        <f t="shared" si="18"/>
        <v>0.44553600000000004</v>
      </c>
      <c r="W27" s="13">
        <f t="shared" si="18"/>
        <v>0.55036799999999997</v>
      </c>
      <c r="X27" s="13">
        <f t="shared" si="18"/>
        <v>0.6552</v>
      </c>
      <c r="Y27" s="13">
        <f t="shared" si="18"/>
        <v>0.76003199999999993</v>
      </c>
      <c r="Z27" s="13">
        <f t="shared" si="18"/>
        <v>1.0221119999999999</v>
      </c>
    </row>
    <row r="28" spans="1:33" ht="18" hidden="1" customHeight="1" x14ac:dyDescent="0.2">
      <c r="K28" s="40"/>
      <c r="L28" s="17">
        <v>60</v>
      </c>
      <c r="M28" s="18">
        <f t="shared" si="17"/>
        <v>0.1152</v>
      </c>
      <c r="N28" s="18">
        <f t="shared" si="17"/>
        <v>0.23039999999999999</v>
      </c>
      <c r="O28" s="18">
        <f t="shared" si="17"/>
        <v>0.3024</v>
      </c>
      <c r="P28" s="18">
        <f t="shared" si="17"/>
        <v>0.37440000000000001</v>
      </c>
      <c r="Q28" s="18">
        <f t="shared" si="17"/>
        <v>0.43919999999999998</v>
      </c>
      <c r="R28" s="18">
        <f t="shared" si="17"/>
        <v>0.51119999999999999</v>
      </c>
      <c r="S28" s="19">
        <f t="shared" si="17"/>
        <v>0.69119999999999993</v>
      </c>
      <c r="T28" s="20">
        <f t="shared" si="18"/>
        <v>0.20966399999999999</v>
      </c>
      <c r="U28" s="18">
        <f t="shared" si="18"/>
        <v>0.41932799999999998</v>
      </c>
      <c r="V28" s="18">
        <f t="shared" si="18"/>
        <v>0.55036799999999997</v>
      </c>
      <c r="W28" s="18">
        <f t="shared" si="18"/>
        <v>0.68140800000000001</v>
      </c>
      <c r="X28" s="18">
        <f t="shared" si="18"/>
        <v>0.79934400000000005</v>
      </c>
      <c r="Y28" s="18">
        <f t="shared" si="18"/>
        <v>0.93038399999999999</v>
      </c>
      <c r="Z28" s="18">
        <f t="shared" si="18"/>
        <v>1.2579839999999998</v>
      </c>
    </row>
    <row r="29" spans="1:33" ht="18" hidden="1" customHeight="1" x14ac:dyDescent="0.2">
      <c r="K29" s="40"/>
      <c r="L29" s="17">
        <v>90</v>
      </c>
      <c r="M29" s="18">
        <f t="shared" si="17"/>
        <v>0.13679999999999998</v>
      </c>
      <c r="N29" s="18">
        <f t="shared" si="17"/>
        <v>0.27359999999999995</v>
      </c>
      <c r="O29" s="18">
        <f t="shared" si="17"/>
        <v>0.36</v>
      </c>
      <c r="P29" s="18">
        <f t="shared" si="17"/>
        <v>0.43919999999999998</v>
      </c>
      <c r="Q29" s="18">
        <f t="shared" si="17"/>
        <v>0.52559999999999996</v>
      </c>
      <c r="R29" s="18">
        <f t="shared" si="17"/>
        <v>0.6048</v>
      </c>
      <c r="S29" s="19">
        <f t="shared" si="17"/>
        <v>0.82079999999999986</v>
      </c>
      <c r="T29" s="20">
        <f t="shared" si="18"/>
        <v>0.24897599999999998</v>
      </c>
      <c r="U29" s="18">
        <f t="shared" si="18"/>
        <v>0.49795199999999995</v>
      </c>
      <c r="V29" s="18">
        <f t="shared" si="18"/>
        <v>0.6552</v>
      </c>
      <c r="W29" s="18">
        <f t="shared" si="18"/>
        <v>0.79934400000000005</v>
      </c>
      <c r="X29" s="18">
        <f t="shared" si="18"/>
        <v>0.956592</v>
      </c>
      <c r="Y29" s="18">
        <f t="shared" si="18"/>
        <v>1.1007359999999999</v>
      </c>
      <c r="Z29" s="18">
        <f t="shared" si="18"/>
        <v>1.4938559999999996</v>
      </c>
    </row>
    <row r="30" spans="1:33" ht="18" hidden="1" customHeight="1" x14ac:dyDescent="0.2">
      <c r="K30" s="40"/>
      <c r="L30" s="17">
        <v>120</v>
      </c>
      <c r="M30" s="18">
        <f t="shared" si="17"/>
        <v>0.17279999999999998</v>
      </c>
      <c r="N30" s="18">
        <f t="shared" si="17"/>
        <v>0.33839999999999998</v>
      </c>
      <c r="O30" s="18">
        <f t="shared" si="17"/>
        <v>0.44639999999999996</v>
      </c>
      <c r="P30" s="18">
        <f t="shared" si="17"/>
        <v>0.54719999999999991</v>
      </c>
      <c r="Q30" s="18">
        <f t="shared" si="17"/>
        <v>0.64800000000000002</v>
      </c>
      <c r="R30" s="18">
        <f t="shared" si="17"/>
        <v>0.74880000000000002</v>
      </c>
      <c r="S30" s="19">
        <f t="shared" si="17"/>
        <v>1.0151999999999999</v>
      </c>
      <c r="T30" s="20">
        <f t="shared" si="18"/>
        <v>0.31449599999999994</v>
      </c>
      <c r="U30" s="18">
        <f t="shared" si="18"/>
        <v>0.61588799999999999</v>
      </c>
      <c r="V30" s="18">
        <f t="shared" si="18"/>
        <v>0.81244799999999995</v>
      </c>
      <c r="W30" s="18">
        <f t="shared" si="18"/>
        <v>0.9959039999999999</v>
      </c>
      <c r="X30" s="18">
        <f t="shared" si="18"/>
        <v>1.17936</v>
      </c>
      <c r="Y30" s="18">
        <f t="shared" si="18"/>
        <v>1.362816</v>
      </c>
      <c r="Z30" s="18">
        <f t="shared" si="18"/>
        <v>1.8476639999999995</v>
      </c>
    </row>
    <row r="31" spans="1:33" ht="18" hidden="1" customHeight="1" x14ac:dyDescent="0.2">
      <c r="K31" s="40"/>
      <c r="L31" s="17">
        <v>150</v>
      </c>
      <c r="M31" s="18">
        <f t="shared" si="17"/>
        <v>0.2016</v>
      </c>
      <c r="N31" s="18">
        <f t="shared" si="17"/>
        <v>0.4032</v>
      </c>
      <c r="O31" s="18">
        <f t="shared" si="17"/>
        <v>0.52559999999999996</v>
      </c>
      <c r="P31" s="18">
        <f t="shared" si="17"/>
        <v>0.64800000000000002</v>
      </c>
      <c r="Q31" s="18">
        <f t="shared" si="17"/>
        <v>0.77039999999999997</v>
      </c>
      <c r="R31" s="18">
        <f t="shared" si="17"/>
        <v>0.89279999999999993</v>
      </c>
      <c r="S31" s="19">
        <f t="shared" si="17"/>
        <v>1.2096</v>
      </c>
      <c r="T31" s="20">
        <f t="shared" si="18"/>
        <v>0.36691200000000002</v>
      </c>
      <c r="U31" s="18">
        <f t="shared" si="18"/>
        <v>0.73382400000000003</v>
      </c>
      <c r="V31" s="18">
        <f t="shared" si="18"/>
        <v>0.956592</v>
      </c>
      <c r="W31" s="18">
        <f t="shared" si="18"/>
        <v>1.17936</v>
      </c>
      <c r="X31" s="18">
        <f t="shared" si="18"/>
        <v>1.402128</v>
      </c>
      <c r="Y31" s="18">
        <f t="shared" si="18"/>
        <v>1.6248959999999999</v>
      </c>
      <c r="Z31" s="18">
        <f t="shared" si="18"/>
        <v>2.2014719999999999</v>
      </c>
    </row>
    <row r="32" spans="1:33" ht="18" hidden="1" customHeight="1" x14ac:dyDescent="0.2">
      <c r="K32" s="40"/>
      <c r="L32" s="21">
        <v>180</v>
      </c>
      <c r="M32" s="22">
        <f t="shared" si="17"/>
        <v>0.23760000000000001</v>
      </c>
      <c r="N32" s="22">
        <f t="shared" si="17"/>
        <v>0.46799999999999997</v>
      </c>
      <c r="O32" s="22">
        <f t="shared" si="17"/>
        <v>0.61199999999999999</v>
      </c>
      <c r="P32" s="22">
        <f t="shared" si="17"/>
        <v>0.74880000000000002</v>
      </c>
      <c r="Q32" s="22">
        <f t="shared" si="17"/>
        <v>0.89279999999999993</v>
      </c>
      <c r="R32" s="22">
        <f t="shared" si="17"/>
        <v>1.0295999999999998</v>
      </c>
      <c r="S32" s="23">
        <f t="shared" si="17"/>
        <v>1.4039999999999999</v>
      </c>
      <c r="T32" s="24">
        <f t="shared" si="18"/>
        <v>0.43243199999999998</v>
      </c>
      <c r="U32" s="22">
        <f t="shared" si="18"/>
        <v>0.85175999999999985</v>
      </c>
      <c r="V32" s="22">
        <f t="shared" si="18"/>
        <v>1.1138399999999999</v>
      </c>
      <c r="W32" s="22">
        <f t="shared" si="18"/>
        <v>1.362816</v>
      </c>
      <c r="X32" s="28">
        <f t="shared" si="18"/>
        <v>1.6248959999999999</v>
      </c>
      <c r="Y32" s="22">
        <f t="shared" si="18"/>
        <v>1.8738719999999995</v>
      </c>
      <c r="Z32" s="22">
        <f t="shared" si="18"/>
        <v>2.5552799999999998</v>
      </c>
    </row>
    <row r="33" spans="11:26" ht="18" hidden="1" customHeight="1" x14ac:dyDescent="0.2">
      <c r="K33" s="7" t="s">
        <v>9</v>
      </c>
      <c r="L33" s="8" t="s">
        <v>8</v>
      </c>
      <c r="M33" s="25">
        <v>1</v>
      </c>
      <c r="N33" s="25">
        <v>2</v>
      </c>
      <c r="O33" s="25">
        <v>3</v>
      </c>
      <c r="P33" s="25">
        <v>4</v>
      </c>
      <c r="Q33" s="25">
        <v>5</v>
      </c>
      <c r="R33" s="25">
        <v>6</v>
      </c>
      <c r="S33" s="26">
        <v>7</v>
      </c>
      <c r="T33" s="27">
        <v>1</v>
      </c>
      <c r="U33" s="25">
        <v>2</v>
      </c>
      <c r="V33" s="25">
        <v>3</v>
      </c>
      <c r="W33" s="25">
        <v>4</v>
      </c>
      <c r="X33" s="25">
        <v>5</v>
      </c>
      <c r="Y33" s="25">
        <v>6</v>
      </c>
      <c r="Z33" s="25">
        <v>7</v>
      </c>
    </row>
    <row r="34" spans="11:26" ht="18" hidden="1" customHeight="1" x14ac:dyDescent="0.2">
      <c r="K34" s="40" t="s">
        <v>12</v>
      </c>
      <c r="L34" s="12">
        <v>30</v>
      </c>
      <c r="M34" s="13">
        <f t="shared" ref="M34:S39" si="19">C15*0.6*1.2</f>
        <v>2.1599999999999998E-2</v>
      </c>
      <c r="N34" s="13">
        <f t="shared" si="19"/>
        <v>4.3199999999999995E-2</v>
      </c>
      <c r="O34" s="13">
        <f t="shared" si="19"/>
        <v>5.7599999999999998E-2</v>
      </c>
      <c r="P34" s="13">
        <f t="shared" si="19"/>
        <v>7.1999999999999995E-2</v>
      </c>
      <c r="Q34" s="13">
        <f t="shared" si="19"/>
        <v>7.9200000000000007E-2</v>
      </c>
      <c r="R34" s="13">
        <f t="shared" si="19"/>
        <v>9.3600000000000003E-2</v>
      </c>
      <c r="S34" s="15">
        <f t="shared" si="19"/>
        <v>0.12959999999999999</v>
      </c>
      <c r="T34" s="16">
        <f t="shared" ref="T34:Z39" si="20">C15*0.6*1.2*1.4*1.3</f>
        <v>3.9311999999999993E-2</v>
      </c>
      <c r="U34" s="13">
        <f t="shared" si="20"/>
        <v>7.8623999999999986E-2</v>
      </c>
      <c r="V34" s="13">
        <f t="shared" si="20"/>
        <v>0.10483199999999999</v>
      </c>
      <c r="W34" s="13">
        <f t="shared" si="20"/>
        <v>0.13103999999999999</v>
      </c>
      <c r="X34" s="13">
        <f t="shared" si="20"/>
        <v>0.14414400000000002</v>
      </c>
      <c r="Y34" s="13">
        <f t="shared" si="20"/>
        <v>0.170352</v>
      </c>
      <c r="Z34" s="13">
        <f t="shared" si="20"/>
        <v>0.235872</v>
      </c>
    </row>
    <row r="35" spans="11:26" ht="18" hidden="1" customHeight="1" x14ac:dyDescent="0.2">
      <c r="K35" s="40"/>
      <c r="L35" s="17">
        <v>60</v>
      </c>
      <c r="M35" s="18">
        <f t="shared" si="19"/>
        <v>4.3199999999999995E-2</v>
      </c>
      <c r="N35" s="18">
        <f t="shared" si="19"/>
        <v>8.6399999999999991E-2</v>
      </c>
      <c r="O35" s="18">
        <f t="shared" si="19"/>
        <v>0.1152</v>
      </c>
      <c r="P35" s="18">
        <f t="shared" si="19"/>
        <v>0.13679999999999998</v>
      </c>
      <c r="Q35" s="18">
        <f t="shared" si="19"/>
        <v>0.1656</v>
      </c>
      <c r="R35" s="18">
        <f t="shared" si="19"/>
        <v>0.18720000000000001</v>
      </c>
      <c r="S35" s="19">
        <f t="shared" si="19"/>
        <v>0.25919999999999999</v>
      </c>
      <c r="T35" s="20">
        <f t="shared" si="20"/>
        <v>7.8623999999999986E-2</v>
      </c>
      <c r="U35" s="18">
        <f t="shared" si="20"/>
        <v>0.15724799999999997</v>
      </c>
      <c r="V35" s="18">
        <f t="shared" si="20"/>
        <v>0.20966399999999999</v>
      </c>
      <c r="W35" s="18">
        <f t="shared" si="20"/>
        <v>0.24897599999999998</v>
      </c>
      <c r="X35" s="18">
        <f t="shared" si="20"/>
        <v>0.30139199999999999</v>
      </c>
      <c r="Y35" s="18">
        <f t="shared" si="20"/>
        <v>0.34070400000000001</v>
      </c>
      <c r="Z35" s="18">
        <f t="shared" si="20"/>
        <v>0.471744</v>
      </c>
    </row>
    <row r="36" spans="11:26" ht="18" hidden="1" customHeight="1" x14ac:dyDescent="0.2">
      <c r="K36" s="40"/>
      <c r="L36" s="17">
        <v>90</v>
      </c>
      <c r="M36" s="18">
        <f t="shared" si="19"/>
        <v>5.04E-2</v>
      </c>
      <c r="N36" s="18">
        <f t="shared" si="19"/>
        <v>0.1008</v>
      </c>
      <c r="O36" s="18">
        <f t="shared" si="19"/>
        <v>0.12959999999999999</v>
      </c>
      <c r="P36" s="18">
        <f t="shared" si="19"/>
        <v>0.15840000000000001</v>
      </c>
      <c r="Q36" s="18">
        <f t="shared" si="19"/>
        <v>0.19439999999999999</v>
      </c>
      <c r="R36" s="18">
        <f t="shared" si="19"/>
        <v>0.22319999999999998</v>
      </c>
      <c r="S36" s="19">
        <f t="shared" si="19"/>
        <v>0.3024</v>
      </c>
      <c r="T36" s="20">
        <f t="shared" si="20"/>
        <v>9.1728000000000004E-2</v>
      </c>
      <c r="U36" s="18">
        <f t="shared" si="20"/>
        <v>0.18345600000000001</v>
      </c>
      <c r="V36" s="18">
        <f t="shared" si="20"/>
        <v>0.235872</v>
      </c>
      <c r="W36" s="18">
        <f t="shared" si="20"/>
        <v>0.28828800000000004</v>
      </c>
      <c r="X36" s="18">
        <f t="shared" si="20"/>
        <v>0.35380799999999996</v>
      </c>
      <c r="Y36" s="18">
        <f t="shared" si="20"/>
        <v>0.40622399999999997</v>
      </c>
      <c r="Z36" s="18">
        <f t="shared" si="20"/>
        <v>0.55036799999999997</v>
      </c>
    </row>
    <row r="37" spans="11:26" ht="18" hidden="1" customHeight="1" x14ac:dyDescent="0.2">
      <c r="K37" s="40"/>
      <c r="L37" s="17">
        <v>120</v>
      </c>
      <c r="M37" s="18">
        <f t="shared" si="19"/>
        <v>6.4799999999999996E-2</v>
      </c>
      <c r="N37" s="18">
        <f t="shared" si="19"/>
        <v>0.12240000000000001</v>
      </c>
      <c r="O37" s="18">
        <f t="shared" si="19"/>
        <v>0.15840000000000001</v>
      </c>
      <c r="P37" s="18">
        <f t="shared" si="19"/>
        <v>0.19439999999999999</v>
      </c>
      <c r="Q37" s="18">
        <f t="shared" si="19"/>
        <v>0.23039999999999999</v>
      </c>
      <c r="R37" s="18">
        <f t="shared" si="19"/>
        <v>0.26639999999999997</v>
      </c>
      <c r="S37" s="19">
        <f t="shared" si="19"/>
        <v>0.36719999999999997</v>
      </c>
      <c r="T37" s="20">
        <f t="shared" si="20"/>
        <v>0.117936</v>
      </c>
      <c r="U37" s="18">
        <f t="shared" si="20"/>
        <v>0.22276800000000002</v>
      </c>
      <c r="V37" s="18">
        <f t="shared" si="20"/>
        <v>0.28828800000000004</v>
      </c>
      <c r="W37" s="18">
        <f t="shared" si="20"/>
        <v>0.35380799999999996</v>
      </c>
      <c r="X37" s="18">
        <f t="shared" si="20"/>
        <v>0.41932799999999998</v>
      </c>
      <c r="Y37" s="18">
        <f t="shared" si="20"/>
        <v>0.48484799999999995</v>
      </c>
      <c r="Z37" s="18">
        <f t="shared" si="20"/>
        <v>0.66830400000000001</v>
      </c>
    </row>
    <row r="38" spans="11:26" ht="18" hidden="1" customHeight="1" x14ac:dyDescent="0.2">
      <c r="K38" s="40"/>
      <c r="L38" s="17">
        <v>150</v>
      </c>
      <c r="M38" s="18">
        <f t="shared" si="19"/>
        <v>7.1999999999999995E-2</v>
      </c>
      <c r="N38" s="18">
        <f t="shared" si="19"/>
        <v>0.13679999999999998</v>
      </c>
      <c r="O38" s="18">
        <f t="shared" si="19"/>
        <v>0.18</v>
      </c>
      <c r="P38" s="18">
        <f t="shared" si="19"/>
        <v>0.216</v>
      </c>
      <c r="Q38" s="18">
        <f t="shared" si="19"/>
        <v>0.25919999999999999</v>
      </c>
      <c r="R38" s="18">
        <f t="shared" si="19"/>
        <v>0.3024</v>
      </c>
      <c r="S38" s="19">
        <f t="shared" si="19"/>
        <v>0.41039999999999993</v>
      </c>
      <c r="T38" s="20">
        <f t="shared" si="20"/>
        <v>0.13103999999999999</v>
      </c>
      <c r="U38" s="18">
        <f t="shared" si="20"/>
        <v>0.24897599999999998</v>
      </c>
      <c r="V38" s="18">
        <f t="shared" si="20"/>
        <v>0.3276</v>
      </c>
      <c r="W38" s="18">
        <f t="shared" si="20"/>
        <v>0.39312000000000002</v>
      </c>
      <c r="X38" s="18">
        <f t="shared" si="20"/>
        <v>0.471744</v>
      </c>
      <c r="Y38" s="18">
        <f t="shared" si="20"/>
        <v>0.55036799999999997</v>
      </c>
      <c r="Z38" s="18">
        <f t="shared" si="20"/>
        <v>0.74692799999999981</v>
      </c>
    </row>
    <row r="39" spans="11:26" ht="18" hidden="1" customHeight="1" x14ac:dyDescent="0.2">
      <c r="K39" s="40"/>
      <c r="L39" s="21">
        <v>180</v>
      </c>
      <c r="M39" s="22">
        <f t="shared" si="19"/>
        <v>7.9200000000000007E-2</v>
      </c>
      <c r="N39" s="22">
        <f t="shared" si="19"/>
        <v>0.15840000000000001</v>
      </c>
      <c r="O39" s="22">
        <f t="shared" si="19"/>
        <v>0.20879999999999999</v>
      </c>
      <c r="P39" s="22">
        <f t="shared" si="19"/>
        <v>0.252</v>
      </c>
      <c r="Q39" s="22">
        <f t="shared" si="19"/>
        <v>0.3024</v>
      </c>
      <c r="R39" s="22">
        <f t="shared" si="19"/>
        <v>0.34559999999999996</v>
      </c>
      <c r="S39" s="23">
        <f t="shared" si="19"/>
        <v>0.47520000000000001</v>
      </c>
      <c r="T39" s="24">
        <f t="shared" si="20"/>
        <v>0.14414400000000002</v>
      </c>
      <c r="U39" s="22">
        <f t="shared" si="20"/>
        <v>0.28828800000000004</v>
      </c>
      <c r="V39" s="22">
        <f t="shared" si="20"/>
        <v>0.38001599999999996</v>
      </c>
      <c r="W39" s="22">
        <f t="shared" si="20"/>
        <v>0.45863999999999999</v>
      </c>
      <c r="X39" s="22">
        <f t="shared" si="20"/>
        <v>0.55036799999999997</v>
      </c>
      <c r="Y39" s="22">
        <f t="shared" si="20"/>
        <v>0.62899199999999988</v>
      </c>
      <c r="Z39" s="22">
        <f t="shared" si="20"/>
        <v>0.86486399999999997</v>
      </c>
    </row>
    <row r="40" spans="11:26" ht="18" hidden="1" customHeight="1" x14ac:dyDescent="0.2">
      <c r="K40" s="1" t="s">
        <v>14</v>
      </c>
    </row>
  </sheetData>
  <mergeCells count="15">
    <mergeCell ref="K27:K32"/>
    <mergeCell ref="K34:K39"/>
    <mergeCell ref="C6:I6"/>
    <mergeCell ref="A6:B6"/>
    <mergeCell ref="A8:A13"/>
    <mergeCell ref="K8:K13"/>
    <mergeCell ref="A15:A20"/>
    <mergeCell ref="K15:K20"/>
    <mergeCell ref="K25:L25"/>
    <mergeCell ref="L2:S2"/>
    <mergeCell ref="K6:L6"/>
    <mergeCell ref="M6:S6"/>
    <mergeCell ref="T6:Z6"/>
    <mergeCell ref="T25:Z25"/>
    <mergeCell ref="M25:S25"/>
  </mergeCells>
  <phoneticPr fontId="1" type="noConversion"/>
  <pageMargins left="0.39" right="0.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기본요율</vt:lpstr>
      <vt:lpstr>개별보험요율</vt:lpstr>
      <vt:lpstr>당사vsMaker</vt:lpstr>
      <vt:lpstr>당사vsMaker!Print_Area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서정민 - Jungmin Suh</cp:lastModifiedBy>
  <cp:lastPrinted>2021-01-20T23:28:24Z</cp:lastPrinted>
  <dcterms:created xsi:type="dcterms:W3CDTF">2017-01-17T01:24:27Z</dcterms:created>
  <dcterms:modified xsi:type="dcterms:W3CDTF">2026-01-15T08:23:44Z</dcterms:modified>
</cp:coreProperties>
</file>