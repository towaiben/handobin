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00 업무참고\원가구조\"/>
    </mc:Choice>
  </mc:AlternateContent>
  <xr:revisionPtr revIDLastSave="0" documentId="13_ncr:1_{EE41CF02-7876-4A32-8905-67814B1BEDA8}" xr6:coauthVersionLast="47" xr6:coauthVersionMax="47" xr10:uidLastSave="{00000000-0000-0000-0000-000000000000}"/>
  <bookViews>
    <workbookView xWindow="-120" yWindow="-120" windowWidth="29040" windowHeight="15840" activeTab="4" xr2:uid="{FF1D77A5-4F30-4A27-BE9C-B3E286C499B7}"/>
  </bookViews>
  <sheets>
    <sheet name="120일" sheetId="11" r:id="rId1"/>
    <sheet name="150일" sheetId="16" r:id="rId2"/>
    <sheet name="180일" sheetId="17" r:id="rId3"/>
    <sheet name="인하 테이블" sheetId="18" r:id="rId4"/>
    <sheet name="연구용" sheetId="20" r:id="rId5"/>
    <sheet name="Sheet1" sheetId="19" r:id="rId6"/>
  </sheets>
  <externalReferences>
    <externalReference r:id="rId7"/>
  </externalReferences>
  <definedNames>
    <definedName name="_xlnm.Print_Area" localSheetId="0">'120일'!$C$2:$N$41</definedName>
    <definedName name="_xlnm.Print_Area" localSheetId="1">'150일'!$C$2:$N$41</definedName>
    <definedName name="_xlnm.Print_Area" localSheetId="2">'180일'!$C$2:$N$41</definedName>
    <definedName name="_xlnm.Print_Area" localSheetId="4">연구용!$C$2:$N$41</definedName>
    <definedName name="_xlnm.Print_Area" localSheetId="3">'인하 테이블'!$B$1:$F$21</definedName>
    <definedName name="기간" localSheetId="0">'[1]DA 90_12.20'!$G$2:$G$5</definedName>
    <definedName name="기간" localSheetId="1">'[1]DA 90_12.20'!$G$2:$G$5</definedName>
    <definedName name="기간" localSheetId="2">'[1]DA 90_12.20'!$G$2:$G$5</definedName>
    <definedName name="기간" localSheetId="4">'[1]DA 90_12.20'!$G$2:$G$5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20" l="1"/>
  <c r="F34" i="20" l="1"/>
  <c r="K14" i="20" l="1"/>
  <c r="E4" i="20"/>
  <c r="K14" i="17"/>
  <c r="S22" i="20"/>
  <c r="S23" i="20"/>
  <c r="S21" i="20"/>
  <c r="K25" i="20" l="1"/>
  <c r="H31" i="20"/>
  <c r="P41" i="20"/>
  <c r="P42" i="20" s="1"/>
  <c r="Q40" i="20"/>
  <c r="Q41" i="20" s="1"/>
  <c r="Q42" i="20" s="1"/>
  <c r="P40" i="20"/>
  <c r="E38" i="20"/>
  <c r="F30" i="20"/>
  <c r="F40" i="20" s="1"/>
  <c r="F29" i="20"/>
  <c r="F28" i="20"/>
  <c r="F38" i="20" s="1"/>
  <c r="F27" i="20"/>
  <c r="F37" i="20" s="1"/>
  <c r="B27" i="20"/>
  <c r="F26" i="20"/>
  <c r="F36" i="20" s="1"/>
  <c r="F25" i="20"/>
  <c r="F35" i="20" s="1"/>
  <c r="B25" i="20"/>
  <c r="F24" i="20"/>
  <c r="D24" i="20"/>
  <c r="B24" i="20"/>
  <c r="B23" i="20"/>
  <c r="B22" i="20"/>
  <c r="B21" i="20"/>
  <c r="B20" i="20"/>
  <c r="F13" i="20"/>
  <c r="F12" i="20"/>
  <c r="F11" i="20"/>
  <c r="E10" i="20"/>
  <c r="F8" i="20"/>
  <c r="F7" i="20"/>
  <c r="F6" i="20"/>
  <c r="F5" i="20"/>
  <c r="P11" i="19"/>
  <c r="P10" i="19"/>
  <c r="K25" i="17"/>
  <c r="K26" i="17" s="1"/>
  <c r="K24" i="17" s="1"/>
  <c r="P19" i="19"/>
  <c r="P18" i="19"/>
  <c r="P15" i="19"/>
  <c r="P16" i="19" s="1"/>
  <c r="H11" i="19"/>
  <c r="H10" i="19"/>
  <c r="H9" i="19"/>
  <c r="H8" i="19"/>
  <c r="H4" i="19"/>
  <c r="B29" i="20" a="1"/>
  <c r="K26" i="20" l="1"/>
  <c r="K24" i="20" s="1"/>
  <c r="E40" i="20"/>
  <c r="F39" i="20"/>
  <c r="S24" i="20"/>
  <c r="E36" i="20"/>
  <c r="E34" i="20"/>
  <c r="L26" i="17"/>
  <c r="B29" i="20"/>
  <c r="E35" i="20"/>
  <c r="E37" i="20"/>
  <c r="E39" i="20"/>
  <c r="F35" i="17"/>
  <c r="L13" i="20" l="1"/>
  <c r="K19" i="20"/>
  <c r="L26" i="20"/>
  <c r="K16" i="20"/>
  <c r="L16" i="20" s="1"/>
  <c r="L24" i="20"/>
  <c r="L15" i="20"/>
  <c r="L11" i="20"/>
  <c r="L9" i="20"/>
  <c r="L17" i="20"/>
  <c r="L12" i="20"/>
  <c r="L10" i="20"/>
  <c r="L25" i="20"/>
  <c r="L14" i="20"/>
  <c r="K18" i="20" l="1"/>
  <c r="K27" i="20" s="1"/>
  <c r="K20" i="20"/>
  <c r="L19" i="20"/>
  <c r="L20" i="20" s="1"/>
  <c r="L18" i="20" l="1"/>
  <c r="K21" i="20"/>
  <c r="K28" i="20" s="1"/>
  <c r="L27" i="20"/>
  <c r="L21" i="20" l="1"/>
  <c r="L28" i="20"/>
  <c r="K24" i="11" l="1"/>
  <c r="K19" i="11"/>
  <c r="K16" i="11"/>
  <c r="K14" i="11"/>
  <c r="K13" i="11"/>
  <c r="K25" i="11"/>
  <c r="K26" i="11" l="1"/>
  <c r="D7" i="18"/>
  <c r="K13" i="17"/>
  <c r="D14" i="18"/>
  <c r="E7" i="18"/>
  <c r="C21" i="18"/>
  <c r="F21" i="18" s="1"/>
  <c r="C14" i="18"/>
  <c r="F14" i="18" s="1"/>
  <c r="F7" i="18"/>
  <c r="C7" i="18"/>
  <c r="Q41" i="17"/>
  <c r="Q42" i="17" s="1"/>
  <c r="P41" i="17"/>
  <c r="P42" i="17" s="1"/>
  <c r="Q40" i="17"/>
  <c r="P40" i="17"/>
  <c r="F40" i="17"/>
  <c r="E40" i="17"/>
  <c r="E38" i="17"/>
  <c r="F36" i="17"/>
  <c r="E36" i="17"/>
  <c r="E35" i="17"/>
  <c r="F34" i="17"/>
  <c r="E34" i="17"/>
  <c r="F30" i="17"/>
  <c r="F29" i="17"/>
  <c r="F39" i="17" s="1"/>
  <c r="F28" i="17"/>
  <c r="F38" i="17" s="1"/>
  <c r="F27" i="17"/>
  <c r="F37" i="17" s="1"/>
  <c r="B27" i="17"/>
  <c r="F26" i="17"/>
  <c r="F25" i="17"/>
  <c r="B25" i="17"/>
  <c r="F24" i="17"/>
  <c r="D24" i="17"/>
  <c r="B24" i="17"/>
  <c r="B23" i="17"/>
  <c r="B22" i="17"/>
  <c r="B21" i="17"/>
  <c r="B20" i="17"/>
  <c r="F13" i="17"/>
  <c r="F12" i="17"/>
  <c r="F11" i="17"/>
  <c r="E10" i="17"/>
  <c r="F8" i="17"/>
  <c r="F7" i="17"/>
  <c r="F6" i="17"/>
  <c r="F5" i="17"/>
  <c r="E4" i="17"/>
  <c r="P41" i="16"/>
  <c r="P42" i="16" s="1"/>
  <c r="Q40" i="16"/>
  <c r="Q41" i="16" s="1"/>
  <c r="Q42" i="16" s="1"/>
  <c r="P40" i="16"/>
  <c r="E40" i="16"/>
  <c r="E38" i="16"/>
  <c r="E36" i="16"/>
  <c r="E34" i="16"/>
  <c r="F30" i="16"/>
  <c r="F40" i="16" s="1"/>
  <c r="F29" i="16"/>
  <c r="F39" i="16" s="1"/>
  <c r="F28" i="16"/>
  <c r="F38" i="16" s="1"/>
  <c r="F27" i="16"/>
  <c r="F37" i="16" s="1"/>
  <c r="B27" i="16"/>
  <c r="F26" i="16"/>
  <c r="F36" i="16" s="1"/>
  <c r="F25" i="16"/>
  <c r="F35" i="16" s="1"/>
  <c r="B25" i="16"/>
  <c r="F24" i="16"/>
  <c r="F34" i="16" s="1"/>
  <c r="D24" i="16"/>
  <c r="B24" i="16"/>
  <c r="B23" i="16"/>
  <c r="B22" i="16"/>
  <c r="B21" i="16"/>
  <c r="B20" i="16"/>
  <c r="F13" i="16"/>
  <c r="K14" i="16" s="1"/>
  <c r="F12" i="16"/>
  <c r="F11" i="16"/>
  <c r="E10" i="16"/>
  <c r="F8" i="16"/>
  <c r="F7" i="16"/>
  <c r="L6" i="16"/>
  <c r="F6" i="16"/>
  <c r="L5" i="16"/>
  <c r="K25" i="16" s="1"/>
  <c r="F5" i="16"/>
  <c r="E4" i="16"/>
  <c r="B29" i="16" a="1"/>
  <c r="B29" i="17" a="1"/>
  <c r="D21" i="18" l="1"/>
  <c r="E21" i="18"/>
  <c r="E14" i="18"/>
  <c r="B29" i="17"/>
  <c r="E37" i="17"/>
  <c r="E39" i="17"/>
  <c r="B29" i="16"/>
  <c r="K26" i="16"/>
  <c r="E35" i="16"/>
  <c r="E37" i="16"/>
  <c r="E39" i="16"/>
  <c r="K24" i="16" l="1"/>
  <c r="K13" i="16" s="1"/>
  <c r="K19" i="17" l="1"/>
  <c r="L12" i="17"/>
  <c r="L10" i="17"/>
  <c r="K16" i="17"/>
  <c r="L16" i="17" s="1"/>
  <c r="L24" i="17"/>
  <c r="L15" i="17"/>
  <c r="L11" i="17"/>
  <c r="L9" i="17"/>
  <c r="L17" i="17"/>
  <c r="L25" i="17"/>
  <c r="L14" i="17"/>
  <c r="K19" i="16"/>
  <c r="L12" i="16"/>
  <c r="L10" i="16"/>
  <c r="K16" i="16"/>
  <c r="L16" i="16" s="1"/>
  <c r="L17" i="16"/>
  <c r="L24" i="16"/>
  <c r="L15" i="16"/>
  <c r="L11" i="16"/>
  <c r="L9" i="16"/>
  <c r="L14" i="16"/>
  <c r="L25" i="16"/>
  <c r="L26" i="16"/>
  <c r="L13" i="17" l="1"/>
  <c r="K18" i="17"/>
  <c r="L18" i="17" s="1"/>
  <c r="K20" i="17"/>
  <c r="L19" i="17"/>
  <c r="L20" i="17" s="1"/>
  <c r="L13" i="16"/>
  <c r="K18" i="16"/>
  <c r="K20" i="16"/>
  <c r="L19" i="16"/>
  <c r="L20" i="16" s="1"/>
  <c r="K21" i="17" l="1"/>
  <c r="K27" i="17"/>
  <c r="L27" i="17" s="1"/>
  <c r="L18" i="16"/>
  <c r="K21" i="16"/>
  <c r="K27" i="16"/>
  <c r="L27" i="16" s="1"/>
  <c r="L21" i="17" l="1"/>
  <c r="K28" i="17"/>
  <c r="L28" i="17" s="1"/>
  <c r="L21" i="16"/>
  <c r="K28" i="16"/>
  <c r="L28" i="16" s="1"/>
  <c r="F7" i="11" l="1"/>
  <c r="Q40" i="11"/>
  <c r="Q41" i="11" s="1"/>
  <c r="Q42" i="11" s="1"/>
  <c r="P40" i="11"/>
  <c r="P41" i="11" s="1"/>
  <c r="P42" i="11" s="1"/>
  <c r="F30" i="11" l="1"/>
  <c r="F40" i="11" s="1"/>
  <c r="F29" i="11"/>
  <c r="F39" i="11" s="1"/>
  <c r="F28" i="11"/>
  <c r="F38" i="11" s="1"/>
  <c r="F27" i="11"/>
  <c r="F37" i="11" s="1"/>
  <c r="F26" i="11"/>
  <c r="F36" i="11" s="1"/>
  <c r="B27" i="11"/>
  <c r="F25" i="11"/>
  <c r="F35" i="11" s="1"/>
  <c r="B25" i="11"/>
  <c r="F24" i="11"/>
  <c r="F34" i="11" s="1"/>
  <c r="D24" i="11"/>
  <c r="B24" i="11"/>
  <c r="B23" i="11"/>
  <c r="B22" i="11"/>
  <c r="B21" i="11"/>
  <c r="B20" i="11"/>
  <c r="F13" i="11"/>
  <c r="F12" i="11"/>
  <c r="F11" i="11"/>
  <c r="E10" i="11"/>
  <c r="F8" i="11"/>
  <c r="L6" i="11"/>
  <c r="F6" i="11"/>
  <c r="L5" i="11"/>
  <c r="F5" i="11"/>
  <c r="E4" i="11"/>
  <c r="B29" i="11" a="1"/>
  <c r="E35" i="11" l="1"/>
  <c r="E37" i="11"/>
  <c r="B29" i="11"/>
  <c r="E39" i="11"/>
  <c r="E34" i="11"/>
  <c r="E36" i="11"/>
  <c r="E38" i="11"/>
  <c r="E40" i="11"/>
  <c r="L15" i="11" l="1"/>
  <c r="L25" i="11" l="1"/>
  <c r="L26" i="11"/>
  <c r="L11" i="11"/>
  <c r="L14" i="11"/>
  <c r="L9" i="11"/>
  <c r="L24" i="11"/>
  <c r="L17" i="11"/>
  <c r="L10" i="11"/>
  <c r="L16" i="11"/>
  <c r="L12" i="11"/>
  <c r="L13" i="11" l="1"/>
  <c r="K18" i="11"/>
  <c r="K27" i="11" s="1"/>
  <c r="L19" i="11"/>
  <c r="L20" i="11" s="1"/>
  <c r="K20" i="11"/>
  <c r="K21" i="11" l="1"/>
  <c r="K28" i="11" s="1"/>
  <c r="L27" i="11"/>
  <c r="L18" i="11"/>
  <c r="L28" i="11" l="1"/>
  <c r="L21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<sst xmlns="http://schemas.openxmlformats.org/spreadsheetml/2006/main" count="492" uniqueCount="120">
  <si>
    <t>구분</t>
    <phoneticPr fontId="1" type="noConversion"/>
  </si>
  <si>
    <t>Buyer</t>
    <phoneticPr fontId="1" type="noConversion"/>
  </si>
  <si>
    <t>거래명</t>
    <phoneticPr fontId="1" type="noConversion"/>
  </si>
  <si>
    <t>신용등급</t>
    <phoneticPr fontId="1" type="noConversion"/>
  </si>
  <si>
    <t>Admin (FLAT)</t>
    <phoneticPr fontId="1" type="noConversion"/>
  </si>
  <si>
    <t>가격조건</t>
    <phoneticPr fontId="1" type="noConversion"/>
  </si>
  <si>
    <t>결제조건</t>
    <phoneticPr fontId="1" type="noConversion"/>
  </si>
  <si>
    <t>D/A</t>
    <phoneticPr fontId="1" type="noConversion"/>
  </si>
  <si>
    <t>기간</t>
    <phoneticPr fontId="1" type="noConversion"/>
  </si>
  <si>
    <t>항목</t>
    <phoneticPr fontId="1" type="noConversion"/>
  </si>
  <si>
    <r>
      <t xml:space="preserve">금액 </t>
    </r>
    <r>
      <rPr>
        <b/>
        <sz val="9"/>
        <color theme="0"/>
        <rFont val="맑은 고딕"/>
        <family val="3"/>
        <charset val="129"/>
        <scheme val="minor"/>
      </rPr>
      <t>(USD)</t>
    </r>
    <phoneticPr fontId="1" type="noConversion"/>
  </si>
  <si>
    <r>
      <t xml:space="preserve">비중 </t>
    </r>
    <r>
      <rPr>
        <b/>
        <sz val="9"/>
        <color theme="0"/>
        <rFont val="맑은 고딕"/>
        <family val="3"/>
        <charset val="129"/>
        <scheme val="minor"/>
      </rPr>
      <t>(판매가比)</t>
    </r>
    <phoneticPr fontId="1" type="noConversion"/>
  </si>
  <si>
    <t>비고</t>
    <phoneticPr fontId="1" type="noConversion"/>
  </si>
  <si>
    <t>삼국간거래 D/A 거래 최소발생원가 비중 (판매가 比)</t>
    <phoneticPr fontId="1" type="noConversion"/>
  </si>
  <si>
    <t>Purchase Price (구매가)</t>
    <phoneticPr fontId="1" type="noConversion"/>
  </si>
  <si>
    <t>Maker</t>
    <phoneticPr fontId="1" type="noConversion"/>
  </si>
  <si>
    <t>Ocean Freight (운임)</t>
    <phoneticPr fontId="1" type="noConversion"/>
  </si>
  <si>
    <t>-</t>
    <phoneticPr fontId="1" type="noConversion"/>
  </si>
  <si>
    <t>Inland Trucking (내륙운송비)</t>
    <phoneticPr fontId="1" type="noConversion"/>
  </si>
  <si>
    <t>Freight Insurance (해상보험료)</t>
    <phoneticPr fontId="1" type="noConversion"/>
  </si>
  <si>
    <t>Export Insurance (수출보험료)</t>
    <phoneticPr fontId="1" type="noConversion"/>
  </si>
  <si>
    <t>L/C Open Charge (L/C 개설비용)</t>
    <phoneticPr fontId="1" type="noConversion"/>
  </si>
  <si>
    <t>Banker's Usance</t>
    <phoneticPr fontId="1" type="noConversion"/>
  </si>
  <si>
    <t>Export Customs Clearance (수출통관료)</t>
    <phoneticPr fontId="1" type="noConversion"/>
  </si>
  <si>
    <t>Others (기타)</t>
    <phoneticPr fontId="1" type="noConversion"/>
  </si>
  <si>
    <t>기타 비용 (하역료, 방청작업, 리워크 등)</t>
    <phoneticPr fontId="1" type="noConversion"/>
  </si>
  <si>
    <t>비용 합계</t>
    <phoneticPr fontId="1" type="noConversion"/>
  </si>
  <si>
    <t>Discount Charge (환가료)</t>
    <phoneticPr fontId="1" type="noConversion"/>
  </si>
  <si>
    <r>
      <t>판매가</t>
    </r>
    <r>
      <rPr>
        <sz val="11"/>
        <color rgb="FFC0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환가료율</t>
    </r>
    <r>
      <rPr>
        <sz val="11"/>
        <color rgb="FFC0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기간/360</t>
    </r>
    <phoneticPr fontId="1" type="noConversion"/>
  </si>
  <si>
    <t>금융비용 합계</t>
    <phoneticPr fontId="1" type="noConversion"/>
  </si>
  <si>
    <t>총 원가</t>
    <phoneticPr fontId="1" type="noConversion"/>
  </si>
  <si>
    <t>기준 일자</t>
    <phoneticPr fontId="1" type="noConversion"/>
  </si>
  <si>
    <t>비중 (판매가比)</t>
    <phoneticPr fontId="1" type="noConversion"/>
  </si>
  <si>
    <t>Sales Price (판매가)</t>
    <phoneticPr fontId="1" type="noConversion"/>
  </si>
  <si>
    <r>
      <t>구매가</t>
    </r>
    <r>
      <rPr>
        <sz val="11"/>
        <color rgb="FFC00000"/>
        <rFont val="맑은 고딕"/>
        <family val="3"/>
        <charset val="129"/>
        <scheme val="minor"/>
      </rPr>
      <t>+</t>
    </r>
    <r>
      <rPr>
        <sz val="11"/>
        <color theme="1"/>
        <rFont val="맑은 고딕"/>
        <family val="2"/>
        <charset val="129"/>
        <scheme val="minor"/>
      </rPr>
      <t>이익</t>
    </r>
    <phoneticPr fontId="1" type="noConversion"/>
  </si>
  <si>
    <t>매출이익</t>
    <phoneticPr fontId="1" type="noConversion"/>
  </si>
  <si>
    <r>
      <t>이익</t>
    </r>
    <r>
      <rPr>
        <sz val="11"/>
        <color rgb="FFC00000"/>
        <rFont val="맑은 고딕"/>
        <family val="3"/>
        <charset val="129"/>
        <scheme val="minor"/>
      </rPr>
      <t>-</t>
    </r>
    <r>
      <rPr>
        <sz val="11"/>
        <color theme="1"/>
        <rFont val="맑은 고딕"/>
        <family val="2"/>
        <charset val="129"/>
        <scheme val="minor"/>
      </rPr>
      <t>비용합계</t>
    </r>
    <phoneticPr fontId="1" type="noConversion"/>
  </si>
  <si>
    <t>거래이익</t>
    <phoneticPr fontId="1" type="noConversion"/>
  </si>
  <si>
    <t>T/T</t>
    <phoneticPr fontId="1" type="noConversion"/>
  </si>
  <si>
    <t>D/P</t>
    <phoneticPr fontId="1" type="noConversion"/>
  </si>
  <si>
    <t>L/C</t>
  </si>
  <si>
    <t xml:space="preserve">*LIBOR 조회 : https://biz.kebhana.com/index.jsp </t>
    <phoneticPr fontId="1" type="noConversion"/>
  </si>
  <si>
    <t>*환가료율 경우 1M/3M/6M/12M 총 4구간만 공시(재정팀)되는 바, 2M/4M/5M 경우 각각 3M/6M/6M로 임의 입력됨</t>
    <phoneticPr fontId="1" type="noConversion"/>
  </si>
  <si>
    <t>*D/A spread :</t>
    <phoneticPr fontId="1" type="noConversion"/>
  </si>
  <si>
    <t>1M</t>
    <phoneticPr fontId="1" type="noConversion"/>
  </si>
  <si>
    <t>3M</t>
    <phoneticPr fontId="1" type="noConversion"/>
  </si>
  <si>
    <t>6M</t>
    <phoneticPr fontId="1" type="noConversion"/>
  </si>
  <si>
    <t>12M</t>
    <phoneticPr fontId="1" type="noConversion"/>
  </si>
  <si>
    <t>L/C</t>
    <phoneticPr fontId="1" type="noConversion"/>
  </si>
  <si>
    <t>D/A</t>
  </si>
  <si>
    <t>*L/C spread :</t>
    <phoneticPr fontId="1" type="noConversion"/>
  </si>
  <si>
    <r>
      <t>구매가</t>
    </r>
    <r>
      <rPr>
        <sz val="8"/>
        <color rgb="FFFF0000"/>
        <rFont val="맑은 고딕"/>
        <family val="3"/>
        <charset val="129"/>
        <scheme val="minor"/>
      </rPr>
      <t>X</t>
    </r>
    <r>
      <rPr>
        <sz val="8"/>
        <color theme="1"/>
        <rFont val="맑은 고딕"/>
        <family val="3"/>
        <charset val="129"/>
        <scheme val="minor"/>
      </rPr>
      <t>개설수수료(0.3% P.A.)</t>
    </r>
    <r>
      <rPr>
        <sz val="8"/>
        <color rgb="FFFF0000"/>
        <rFont val="맑은 고딕"/>
        <family val="3"/>
        <charset val="129"/>
        <scheme val="minor"/>
      </rPr>
      <t>X</t>
    </r>
    <r>
      <rPr>
        <sz val="8"/>
        <color theme="1"/>
        <rFont val="맑은 고딕"/>
        <family val="3"/>
        <charset val="129"/>
        <scheme val="minor"/>
      </rPr>
      <t>기간/360  *Maker 결제조건이 수입L/C인 경우에만 해당</t>
    </r>
    <phoneticPr fontId="1" type="noConversion"/>
  </si>
  <si>
    <t>금리</t>
    <phoneticPr fontId="1" type="noConversion"/>
  </si>
  <si>
    <t>당사 요율</t>
    <phoneticPr fontId="1" type="noConversion"/>
  </si>
  <si>
    <t>필수 입력 항목 (색상 처리 된 부분 변경/입력 必)</t>
    <phoneticPr fontId="1" type="noConversion"/>
  </si>
  <si>
    <t>* LIBOR 조회 : SAP &gt; ZTRR0070</t>
    <phoneticPr fontId="1" type="noConversion"/>
  </si>
  <si>
    <t>FOB</t>
    <phoneticPr fontId="1" type="noConversion"/>
  </si>
  <si>
    <r>
      <t>송금수수료 등 (판매가</t>
    </r>
    <r>
      <rPr>
        <sz val="11"/>
        <color rgb="FFC0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0.02%)</t>
    </r>
    <phoneticPr fontId="1" type="noConversion"/>
  </si>
  <si>
    <t>환가료율 (SOFR + spread)</t>
    <phoneticPr fontId="1" type="noConversion"/>
  </si>
  <si>
    <t>SOFR</t>
    <phoneticPr fontId="1" type="noConversion"/>
  </si>
  <si>
    <t>Interest (SOFR + Spread P.A.)</t>
    <phoneticPr fontId="1" type="noConversion"/>
  </si>
  <si>
    <t>Admin</t>
    <phoneticPr fontId="1" type="noConversion"/>
  </si>
  <si>
    <t>Interest</t>
    <phoneticPr fontId="1" type="noConversion"/>
  </si>
  <si>
    <t>콜롬비아 AUTOCOM向 JAC 차량 공급</t>
    <phoneticPr fontId="1" type="noConversion"/>
  </si>
  <si>
    <t>AUTOCOM</t>
    <phoneticPr fontId="1" type="noConversion"/>
  </si>
  <si>
    <t>F</t>
    <phoneticPr fontId="1" type="noConversion"/>
  </si>
  <si>
    <t>JAC</t>
    <phoneticPr fontId="1" type="noConversion"/>
  </si>
  <si>
    <t>포괄보험요율 (K-SURE 등급 요율표 참조)</t>
    <phoneticPr fontId="1" type="noConversion"/>
  </si>
  <si>
    <t>JAC PI 가격</t>
    <phoneticPr fontId="1" type="noConversion"/>
  </si>
  <si>
    <t>* 150일 2.2%, 180일 2.4%</t>
    <phoneticPr fontId="1" type="noConversion"/>
  </si>
  <si>
    <t>*최종 CFR이지만 운임비 오토컴 부담</t>
    <phoneticPr fontId="1" type="noConversion"/>
  </si>
  <si>
    <t>*생산기간(LC 열려있는 기간)</t>
    <phoneticPr fontId="1" type="noConversion"/>
  </si>
  <si>
    <r>
      <t>이익</t>
    </r>
    <r>
      <rPr>
        <sz val="11"/>
        <color rgb="FFC00000"/>
        <rFont val="맑은 고딕"/>
        <family val="3"/>
        <charset val="129"/>
        <scheme val="minor"/>
      </rPr>
      <t>-</t>
    </r>
    <r>
      <rPr>
        <sz val="11"/>
        <rFont val="맑은 고딕"/>
        <family val="3"/>
        <charset val="129"/>
        <scheme val="minor"/>
      </rPr>
      <t>(비용합계</t>
    </r>
    <r>
      <rPr>
        <sz val="11"/>
        <color rgb="FFC00000"/>
        <rFont val="맑은 고딕"/>
        <family val="3"/>
        <charset val="129"/>
        <scheme val="minor"/>
      </rPr>
      <t>+</t>
    </r>
    <r>
      <rPr>
        <sz val="11"/>
        <color theme="1"/>
        <rFont val="맑은 고딕"/>
        <family val="2"/>
        <charset val="129"/>
        <scheme val="minor"/>
      </rPr>
      <t>금융비용)</t>
    </r>
    <phoneticPr fontId="1" type="noConversion"/>
  </si>
  <si>
    <t>기준 등급</t>
    <phoneticPr fontId="1" type="noConversion"/>
  </si>
  <si>
    <t>*26년 적용완료</t>
    <phoneticPr fontId="1" type="noConversion"/>
  </si>
  <si>
    <t>스마트모빌리티팀 삼국간거래 원가 TABLE (O/A)</t>
    <phoneticPr fontId="1" type="noConversion"/>
  </si>
  <si>
    <t>판매가</t>
    <phoneticPr fontId="1" type="noConversion"/>
  </si>
  <si>
    <t>*구매가 U$ 100만 기준</t>
    <phoneticPr fontId="1" type="noConversion"/>
  </si>
  <si>
    <t>Admin Fee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</si>
  <si>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[120일]</t>
    </r>
    <r>
      <rPr>
        <sz val="11"/>
        <color theme="1"/>
        <rFont val="맑은 고딕"/>
        <family val="2"/>
        <charset val="129"/>
        <scheme val="minor"/>
      </rPr>
      <t xml:space="preserve">   </t>
    </r>
    <r>
      <rPr>
        <sz val="9"/>
        <color theme="1"/>
        <rFont val="맑은 고딕"/>
        <family val="3"/>
        <charset val="129"/>
        <scheme val="minor"/>
      </rPr>
      <t>*기존 Admin: 2.0%, Interest: SOFR 6M+4%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</si>
  <si>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[150일]</t>
    </r>
    <r>
      <rPr>
        <sz val="11"/>
        <color theme="1"/>
        <rFont val="맑은 고딕"/>
        <family val="2"/>
        <charset val="129"/>
        <scheme val="minor"/>
      </rPr>
      <t xml:space="preserve">   </t>
    </r>
    <r>
      <rPr>
        <sz val="9"/>
        <color theme="1"/>
        <rFont val="맑은 고딕"/>
        <family val="3"/>
        <charset val="129"/>
        <scheme val="minor"/>
      </rPr>
      <t>*기존 Admin: 2.2%, Interest: SOFR 6M+4%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</si>
  <si>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[180일]  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*기존 Admin: 2.4%, Interest: SOFR 6M+4%</t>
    </r>
    <phoneticPr fontId="1" type="noConversion"/>
  </si>
  <si>
    <t>Stamp Tax 당사 부담율</t>
    <phoneticPr fontId="1" type="noConversion"/>
  </si>
  <si>
    <t>판매가*보험요율*0.85(중계무역)</t>
    <phoneticPr fontId="1" type="noConversion"/>
  </si>
  <si>
    <t>B</t>
    <phoneticPr fontId="1" type="noConversion"/>
  </si>
  <si>
    <t>거래이익 계산 수식</t>
    <phoneticPr fontId="1" type="noConversion"/>
  </si>
  <si>
    <t>예시 (180일)</t>
    <phoneticPr fontId="1" type="noConversion"/>
  </si>
  <si>
    <t>Spread</t>
    <phoneticPr fontId="1" type="noConversion"/>
  </si>
  <si>
    <t>환가료율</t>
    <phoneticPr fontId="1" type="noConversion"/>
  </si>
  <si>
    <t>일자</t>
    <phoneticPr fontId="1" type="noConversion"/>
  </si>
  <si>
    <t>우간다 Double Q向 SINOTRUK 차량 공급</t>
    <phoneticPr fontId="1" type="noConversion"/>
  </si>
  <si>
    <t>Admin (FLAT) 180일</t>
    <phoneticPr fontId="1" type="noConversion"/>
  </si>
  <si>
    <t>Total Rate 180일</t>
    <phoneticPr fontId="1" type="noConversion"/>
  </si>
  <si>
    <t>SOFR 180일</t>
    <phoneticPr fontId="1" type="noConversion"/>
  </si>
  <si>
    <t>Spread 180일</t>
    <phoneticPr fontId="1" type="noConversion"/>
  </si>
  <si>
    <t>Double Q</t>
    <phoneticPr fontId="1" type="noConversion"/>
  </si>
  <si>
    <t>CIF</t>
    <phoneticPr fontId="1" type="noConversion"/>
  </si>
  <si>
    <t>SINOTRUK</t>
    <phoneticPr fontId="1" type="noConversion"/>
  </si>
  <si>
    <t>금액</t>
  </si>
  <si>
    <t> 513,043.29</t>
  </si>
  <si>
    <t> 491,910.00</t>
  </si>
  <si>
    <t>최대허용범위</t>
  </si>
  <si>
    <t> Tolerance 0%</t>
  </si>
  <si>
    <t>인도예상일</t>
  </si>
  <si>
    <t> 2026-11-30</t>
  </si>
  <si>
    <t>T/T 20% + OA 180 Days 80%</t>
    <phoneticPr fontId="1" type="noConversion"/>
  </si>
  <si>
    <t xml:space="preserve">Double Q Company Limited </t>
    <phoneticPr fontId="1" type="noConversion"/>
  </si>
  <si>
    <t>USD</t>
    <phoneticPr fontId="1" type="noConversion"/>
  </si>
  <si>
    <t>L/C AT SIGHT</t>
    <phoneticPr fontId="1" type="noConversion"/>
  </si>
  <si>
    <t>China</t>
    <phoneticPr fontId="1" type="noConversion"/>
  </si>
  <si>
    <t>Uganda</t>
    <phoneticPr fontId="1" type="noConversion"/>
  </si>
  <si>
    <t>Country</t>
    <phoneticPr fontId="1" type="noConversion"/>
  </si>
  <si>
    <t>Delivery Term</t>
    <phoneticPr fontId="1" type="noConversion"/>
  </si>
  <si>
    <t>Company Name</t>
    <phoneticPr fontId="1" type="noConversion"/>
  </si>
  <si>
    <t>Payment Term</t>
    <phoneticPr fontId="1" type="noConversion"/>
  </si>
  <si>
    <t>Currency</t>
    <phoneticPr fontId="1" type="noConversion"/>
  </si>
  <si>
    <t>CIF / Mombasa, Kenya</t>
    <phoneticPr fontId="1" type="noConversion"/>
  </si>
  <si>
    <t>Buy</t>
    <phoneticPr fontId="1" type="noConversion"/>
  </si>
  <si>
    <t>Sell</t>
    <phoneticPr fontId="1" type="noConversion"/>
  </si>
  <si>
    <t xml:space="preserve">Sinotruk International Co. Ltd.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</si>
</sst>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76" formatCode="General&quot;일&quot;"/>
    <numFmt numFmtId="177" formatCode="\A"/>
    <numFmt numFmtId="178" formatCode="\B"/>
    <numFmt numFmtId="179" formatCode="\C"/>
    <numFmt numFmtId="180" formatCode="\D"/>
    <numFmt numFmtId="181" formatCode="\E"/>
    <numFmt numFmtId="182" formatCode="\F"/>
    <numFmt numFmtId="183" formatCode="\H"/>
    <numFmt numFmtId="184" formatCode="\1"/>
    <numFmt numFmtId="185" formatCode="_-* #,##0.0000_-;\-* #,##0.0000_-;_-* &quot;-&quot;????_-;_-@_-"/>
    <numFmt numFmtId="186" formatCode="m&quot;/&quot;d;@"/>
    <numFmt numFmtId="187" formatCode="_-* #,##0.00_-;\-* #,##0.00_-;_-* &quot;-&quot;_-;_-@_-"/>
    <numFmt numFmtId="188" formatCode="0.0%"/>
    <numFmt numFmtId="189" formatCode="_-[$$-409]* #,##0.00_ ;_-[$$-409]* \-#,##0.00\ ;_-[$$-409]* &quot;-&quot;??_ ;_-@_ "/>
  </numFmts>
  <fonts count="3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나눔고딕"/>
      <family val="2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sz val="10"/>
      <name val="Arial"/>
      <family val="2"/>
    </font>
    <font>
      <b/>
      <sz val="16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1"/>
      <color theme="2" tint="-0.499984740745262"/>
      <name val="맑은 고딕"/>
      <family val="3"/>
      <charset val="129"/>
      <scheme val="minor"/>
    </font>
    <font>
      <sz val="11"/>
      <color theme="2" tint="-0.499984740745262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 tint="0.499984740745262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b/>
      <sz val="9"/>
      <color rgb="FF222222"/>
      <name val="맑은 고딕"/>
      <family val="3"/>
      <charset val="129"/>
      <scheme val="minor"/>
    </font>
    <font>
      <sz val="9"/>
      <color rgb="FF222222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888888"/>
      </left>
      <right style="medium">
        <color rgb="FFBFBFBF"/>
      </right>
      <top style="medium">
        <color rgb="FF888888"/>
      </top>
      <bottom style="medium">
        <color rgb="FFBFBFBF"/>
      </bottom>
      <diagonal/>
    </border>
    <border>
      <left style="medium">
        <color rgb="FFBFBFBF"/>
      </left>
      <right/>
      <top style="medium">
        <color rgb="FF888888"/>
      </top>
      <bottom style="medium">
        <color rgb="FFBFBFBF"/>
      </bottom>
      <diagonal/>
    </border>
    <border>
      <left/>
      <right/>
      <top style="medium">
        <color rgb="FF888888"/>
      </top>
      <bottom style="medium">
        <color rgb="FFBFBFBF"/>
      </bottom>
      <diagonal/>
    </border>
    <border>
      <left/>
      <right style="medium">
        <color rgb="FFBFBFBF"/>
      </right>
      <top style="medium">
        <color rgb="FF888888"/>
      </top>
      <bottom style="medium">
        <color rgb="FFBFBFBF"/>
      </bottom>
      <diagonal/>
    </border>
    <border>
      <left/>
      <right style="medium">
        <color rgb="FF888888"/>
      </right>
      <top style="medium">
        <color rgb="FF888888"/>
      </top>
      <bottom style="medium">
        <color rgb="FFBFBFBF"/>
      </bottom>
      <diagonal/>
    </border>
    <border>
      <left style="medium">
        <color rgb="FF888888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888888"/>
      </right>
      <top style="medium">
        <color rgb="FFBFBFBF"/>
      </top>
      <bottom style="medium">
        <color rgb="FFBFBFBF"/>
      </bottom>
      <diagonal/>
    </border>
    <border>
      <left style="medium">
        <color rgb="FF888888"/>
      </left>
      <right style="medium">
        <color rgb="FFBFBFBF"/>
      </right>
      <top style="medium">
        <color rgb="FFBFBFBF"/>
      </top>
      <bottom style="medium">
        <color rgb="FF888888"/>
      </bottom>
      <diagonal/>
    </border>
    <border>
      <left style="medium">
        <color rgb="FFBFBFBF"/>
      </left>
      <right/>
      <top style="medium">
        <color rgb="FFBFBFBF"/>
      </top>
      <bottom style="medium">
        <color rgb="FF888888"/>
      </bottom>
      <diagonal/>
    </border>
    <border>
      <left/>
      <right/>
      <top style="medium">
        <color rgb="FFBFBFBF"/>
      </top>
      <bottom style="medium">
        <color rgb="FF888888"/>
      </bottom>
      <diagonal/>
    </border>
    <border>
      <left/>
      <right style="medium">
        <color rgb="FFBFBFBF"/>
      </right>
      <top style="medium">
        <color rgb="FFBFBFBF"/>
      </top>
      <bottom style="medium">
        <color rgb="FF888888"/>
      </bottom>
      <diagonal/>
    </border>
    <border>
      <left/>
      <right style="medium">
        <color rgb="FF888888"/>
      </right>
      <top style="medium">
        <color rgb="FFBFBFBF"/>
      </top>
      <bottom style="medium">
        <color rgb="FF888888"/>
      </bottom>
      <diagonal/>
    </border>
  </borders>
  <cellStyleXfs count="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11" fillId="0" borderId="0"/>
  </cellStyleXfs>
  <cellXfs count="2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0" applyNumberFormat="1">
      <alignment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12" xfId="0" quotePrefix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0" fontId="0" fillId="0" borderId="22" xfId="0" applyNumberFormat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0" borderId="26" xfId="0" quotePrefix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4" fillId="0" borderId="0" xfId="0" applyFont="1">
      <alignment vertical="center"/>
    </xf>
    <xf numFmtId="10" fontId="0" fillId="0" borderId="12" xfId="2" applyNumberFormat="1" applyFont="1" applyBorder="1" applyAlignment="1">
      <alignment horizontal="center" vertical="center"/>
    </xf>
    <xf numFmtId="10" fontId="0" fillId="5" borderId="30" xfId="2" applyNumberFormat="1" applyFont="1" applyFill="1" applyBorder="1" applyAlignment="1">
      <alignment horizontal="center" vertical="center"/>
    </xf>
    <xf numFmtId="10" fontId="0" fillId="5" borderId="30" xfId="0" applyNumberFormat="1" applyFill="1" applyBorder="1" applyAlignment="1">
      <alignment horizontal="center" vertical="center"/>
    </xf>
    <xf numFmtId="10" fontId="0" fillId="3" borderId="6" xfId="2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20" xfId="2" applyNumberFormat="1" applyFont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10" fontId="0" fillId="0" borderId="18" xfId="2" applyNumberFormat="1" applyFont="1" applyBorder="1" applyAlignment="1">
      <alignment horizontal="center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184" fontId="0" fillId="0" borderId="0" xfId="2" applyNumberFormat="1" applyFont="1">
      <alignment vertical="center"/>
    </xf>
    <xf numFmtId="0" fontId="2" fillId="2" borderId="4" xfId="0" applyFont="1" applyFill="1" applyBorder="1" applyAlignment="1">
      <alignment horizontal="center" vertical="center"/>
    </xf>
    <xf numFmtId="9" fontId="0" fillId="0" borderId="14" xfId="2" applyFont="1" applyBorder="1" applyAlignment="1">
      <alignment horizontal="center" vertical="center"/>
    </xf>
    <xf numFmtId="10" fontId="0" fillId="0" borderId="15" xfId="2" applyNumberFormat="1" applyFont="1" applyBorder="1" applyAlignment="1">
      <alignment horizontal="center" vertical="center"/>
    </xf>
    <xf numFmtId="10" fontId="0" fillId="0" borderId="16" xfId="2" applyNumberFormat="1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top" wrapText="1"/>
    </xf>
    <xf numFmtId="0" fontId="10" fillId="0" borderId="0" xfId="0" applyFont="1">
      <alignment vertical="center"/>
    </xf>
    <xf numFmtId="41" fontId="0" fillId="0" borderId="0" xfId="0" applyNumberFormat="1">
      <alignment vertical="center"/>
    </xf>
    <xf numFmtId="10" fontId="0" fillId="0" borderId="0" xfId="2" applyNumberFormat="1" applyFont="1">
      <alignment vertical="center"/>
    </xf>
    <xf numFmtId="10" fontId="0" fillId="0" borderId="31" xfId="2" applyNumberFormat="1" applyFont="1" applyBorder="1" applyAlignment="1">
      <alignment horizontal="center" vertical="center"/>
    </xf>
    <xf numFmtId="10" fontId="0" fillId="0" borderId="38" xfId="2" applyNumberFormat="1" applyFont="1" applyBorder="1" applyAlignment="1">
      <alignment horizontal="center" vertical="center"/>
    </xf>
    <xf numFmtId="185" fontId="0" fillId="0" borderId="0" xfId="0" applyNumberFormat="1">
      <alignment vertical="center"/>
    </xf>
    <xf numFmtId="10" fontId="0" fillId="0" borderId="0" xfId="0" applyNumberFormat="1" applyAlignment="1">
      <alignment horizontal="center" vertical="center"/>
    </xf>
    <xf numFmtId="0" fontId="8" fillId="4" borderId="39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187" fontId="0" fillId="0" borderId="15" xfId="1" applyNumberFormat="1" applyFont="1" applyBorder="1" applyAlignment="1">
      <alignment horizontal="left" vertical="center"/>
    </xf>
    <xf numFmtId="187" fontId="0" fillId="5" borderId="27" xfId="1" applyNumberFormat="1" applyFont="1" applyFill="1" applyBorder="1" applyAlignment="1">
      <alignment horizontal="left" vertical="center"/>
    </xf>
    <xf numFmtId="187" fontId="0" fillId="0" borderId="15" xfId="1" applyNumberFormat="1" applyFont="1" applyBorder="1">
      <alignment vertical="center"/>
    </xf>
    <xf numFmtId="187" fontId="0" fillId="5" borderId="27" xfId="0" applyNumberFormat="1" applyFill="1" applyBorder="1">
      <alignment vertical="center"/>
    </xf>
    <xf numFmtId="187" fontId="0" fillId="0" borderId="23" xfId="1" applyNumberFormat="1" applyFont="1" applyBorder="1" applyAlignment="1">
      <alignment horizontal="left" vertical="center"/>
    </xf>
    <xf numFmtId="187" fontId="0" fillId="3" borderId="16" xfId="0" applyNumberFormat="1" applyFill="1" applyBorder="1">
      <alignment vertical="center"/>
    </xf>
    <xf numFmtId="10" fontId="15" fillId="7" borderId="20" xfId="0" applyNumberFormat="1" applyFont="1" applyFill="1" applyBorder="1" applyAlignment="1">
      <alignment horizontal="center" vertical="center"/>
    </xf>
    <xf numFmtId="10" fontId="15" fillId="7" borderId="22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40" xfId="0" applyNumberFormat="1" applyBorder="1" applyAlignment="1">
      <alignment horizontal="center" vertical="center"/>
    </xf>
    <xf numFmtId="10" fontId="0" fillId="0" borderId="0" xfId="0" applyNumberFormat="1">
      <alignment vertical="center"/>
    </xf>
    <xf numFmtId="186" fontId="0" fillId="0" borderId="14" xfId="0" applyNumberFormat="1" applyBorder="1" applyAlignment="1">
      <alignment horizontal="center"/>
    </xf>
    <xf numFmtId="176" fontId="0" fillId="0" borderId="41" xfId="0" applyNumberFormat="1" applyBorder="1" applyAlignment="1">
      <alignment horizontal="center"/>
    </xf>
    <xf numFmtId="176" fontId="0" fillId="0" borderId="42" xfId="0" applyNumberFormat="1" applyBorder="1" applyAlignment="1">
      <alignment horizontal="center"/>
    </xf>
    <xf numFmtId="176" fontId="0" fillId="0" borderId="41" xfId="0" applyNumberFormat="1" applyBorder="1" applyAlignment="1">
      <alignment horizontal="center" vertical="center"/>
    </xf>
    <xf numFmtId="176" fontId="0" fillId="0" borderId="43" xfId="0" applyNumberFormat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10" fontId="15" fillId="7" borderId="18" xfId="0" applyNumberFormat="1" applyFont="1" applyFill="1" applyBorder="1" applyAlignment="1">
      <alignment horizontal="center" vertical="center"/>
    </xf>
    <xf numFmtId="187" fontId="0" fillId="0" borderId="14" xfId="1" applyNumberFormat="1" applyFont="1" applyBorder="1">
      <alignment vertical="center"/>
    </xf>
    <xf numFmtId="187" fontId="0" fillId="0" borderId="15" xfId="0" applyNumberFormat="1" applyBorder="1">
      <alignment vertical="center"/>
    </xf>
    <xf numFmtId="187" fontId="0" fillId="0" borderId="16" xfId="0" applyNumberFormat="1" applyBorder="1">
      <alignment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10" fontId="17" fillId="0" borderId="6" xfId="2" applyNumberFormat="1" applyFont="1" applyFill="1" applyBorder="1" applyAlignment="1">
      <alignment horizontal="center" vertical="center" wrapText="1"/>
    </xf>
    <xf numFmtId="10" fontId="7" fillId="0" borderId="6" xfId="2" applyNumberFormat="1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9" fillId="0" borderId="12" xfId="0" quotePrefix="1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0" fillId="0" borderId="5" xfId="0" applyBorder="1">
      <alignment vertical="center"/>
    </xf>
    <xf numFmtId="0" fontId="0" fillId="0" borderId="9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10" fontId="16" fillId="0" borderId="45" xfId="2" applyNumberFormat="1" applyFont="1" applyBorder="1" applyAlignment="1">
      <alignment horizontal="center" vertical="center"/>
    </xf>
    <xf numFmtId="10" fontId="16" fillId="0" borderId="34" xfId="2" applyNumberFormat="1" applyFont="1" applyBorder="1" applyAlignment="1">
      <alignment horizontal="center" vertical="center"/>
    </xf>
    <xf numFmtId="10" fontId="16" fillId="0" borderId="46" xfId="2" applyNumberFormat="1" applyFont="1" applyBorder="1" applyAlignment="1">
      <alignment horizontal="center" vertical="center"/>
    </xf>
    <xf numFmtId="10" fontId="16" fillId="0" borderId="47" xfId="2" applyNumberFormat="1" applyFont="1" applyBorder="1" applyAlignment="1">
      <alignment horizontal="center" vertical="center"/>
    </xf>
    <xf numFmtId="10" fontId="0" fillId="0" borderId="48" xfId="2" applyNumberFormat="1" applyFont="1" applyBorder="1" applyAlignment="1">
      <alignment horizontal="center" vertical="center"/>
    </xf>
    <xf numFmtId="10" fontId="16" fillId="0" borderId="2" xfId="0" applyNumberFormat="1" applyFont="1" applyBorder="1" applyAlignment="1">
      <alignment horizontal="center" vertical="center"/>
    </xf>
    <xf numFmtId="10" fontId="16" fillId="0" borderId="16" xfId="0" applyNumberFormat="1" applyFont="1" applyBorder="1" applyAlignment="1">
      <alignment horizontal="center" vertical="center"/>
    </xf>
    <xf numFmtId="187" fontId="0" fillId="0" borderId="15" xfId="1" applyNumberFormat="1" applyFont="1" applyFill="1" applyBorder="1" applyAlignment="1">
      <alignment horizontal="left" vertical="center"/>
    </xf>
    <xf numFmtId="10" fontId="0" fillId="0" borderId="49" xfId="2" applyNumberFormat="1" applyFont="1" applyBorder="1" applyAlignment="1">
      <alignment horizontal="center" vertical="center"/>
    </xf>
    <xf numFmtId="0" fontId="0" fillId="0" borderId="13" xfId="0" applyBorder="1">
      <alignment vertical="center"/>
    </xf>
    <xf numFmtId="10" fontId="22" fillId="0" borderId="20" xfId="2" applyNumberFormat="1" applyFont="1" applyBorder="1" applyAlignment="1">
      <alignment horizontal="center" vertical="center"/>
    </xf>
    <xf numFmtId="10" fontId="22" fillId="0" borderId="38" xfId="2" applyNumberFormat="1" applyFont="1" applyBorder="1" applyAlignment="1">
      <alignment horizontal="center" vertical="center"/>
    </xf>
    <xf numFmtId="43" fontId="10" fillId="0" borderId="0" xfId="0" applyNumberFormat="1" applyFont="1">
      <alignment vertical="center"/>
    </xf>
    <xf numFmtId="10" fontId="5" fillId="0" borderId="20" xfId="2" applyNumberFormat="1" applyFont="1" applyBorder="1" applyAlignment="1">
      <alignment horizontal="center" vertical="center"/>
    </xf>
    <xf numFmtId="10" fontId="5" fillId="0" borderId="38" xfId="2" applyNumberFormat="1" applyFont="1" applyBorder="1" applyAlignment="1">
      <alignment horizontal="center" vertical="center"/>
    </xf>
    <xf numFmtId="10" fontId="22" fillId="0" borderId="49" xfId="2" applyNumberFormat="1" applyFont="1" applyBorder="1" applyAlignment="1">
      <alignment horizontal="center" vertical="center"/>
    </xf>
    <xf numFmtId="0" fontId="23" fillId="0" borderId="0" xfId="0" applyFont="1">
      <alignment vertical="center"/>
    </xf>
    <xf numFmtId="189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10" fontId="0" fillId="0" borderId="1" xfId="2" applyNumberFormat="1" applyFont="1" applyBorder="1">
      <alignment vertical="center"/>
    </xf>
    <xf numFmtId="0" fontId="8" fillId="1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88" fontId="8" fillId="10" borderId="1" xfId="0" applyNumberFormat="1" applyFont="1" applyFill="1" applyBorder="1" applyAlignment="1">
      <alignment horizontal="center" vertical="center"/>
    </xf>
    <xf numFmtId="188" fontId="26" fillId="10" borderId="1" xfId="0" applyNumberFormat="1" applyFont="1" applyFill="1" applyBorder="1" applyAlignment="1">
      <alignment horizontal="center" vertical="center"/>
    </xf>
    <xf numFmtId="189" fontId="27" fillId="10" borderId="1" xfId="0" applyNumberFormat="1" applyFont="1" applyFill="1" applyBorder="1">
      <alignment vertical="center"/>
    </xf>
    <xf numFmtId="10" fontId="27" fillId="10" borderId="1" xfId="0" applyNumberFormat="1" applyFont="1" applyFill="1" applyBorder="1">
      <alignment vertical="center"/>
    </xf>
    <xf numFmtId="188" fontId="8" fillId="3" borderId="1" xfId="0" applyNumberFormat="1" applyFont="1" applyFill="1" applyBorder="1" applyAlignment="1">
      <alignment horizontal="center" vertical="center"/>
    </xf>
    <xf numFmtId="189" fontId="0" fillId="3" borderId="1" xfId="0" applyNumberFormat="1" applyFill="1" applyBorder="1">
      <alignment vertical="center"/>
    </xf>
    <xf numFmtId="10" fontId="0" fillId="3" borderId="1" xfId="0" applyNumberFormat="1" applyFill="1" applyBorder="1">
      <alignment vertical="center"/>
    </xf>
    <xf numFmtId="10" fontId="0" fillId="3" borderId="1" xfId="2" applyNumberFormat="1" applyFont="1" applyFill="1" applyBorder="1">
      <alignment vertical="center"/>
    </xf>
    <xf numFmtId="10" fontId="10" fillId="0" borderId="0" xfId="2" applyNumberFormat="1" applyFont="1">
      <alignment vertical="center"/>
    </xf>
    <xf numFmtId="10" fontId="10" fillId="0" borderId="0" xfId="0" applyNumberFormat="1" applyFont="1">
      <alignment vertical="center"/>
    </xf>
    <xf numFmtId="0" fontId="28" fillId="12" borderId="53" xfId="0" applyFont="1" applyFill="1" applyBorder="1" applyAlignment="1">
      <alignment horizontal="center" vertical="center"/>
    </xf>
    <xf numFmtId="0" fontId="28" fillId="12" borderId="58" xfId="0" applyFont="1" applyFill="1" applyBorder="1" applyAlignment="1">
      <alignment horizontal="center" vertical="center"/>
    </xf>
    <xf numFmtId="0" fontId="28" fillId="12" borderId="60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21" fillId="0" borderId="3" xfId="0" applyNumberFormat="1" applyFont="1" applyBorder="1" applyAlignment="1">
      <alignment horizontal="center" vertical="center" wrapText="1"/>
    </xf>
    <xf numFmtId="176" fontId="21" fillId="0" borderId="10" xfId="0" applyNumberFormat="1" applyFont="1" applyBorder="1" applyAlignment="1">
      <alignment horizontal="center" vertical="center"/>
    </xf>
    <xf numFmtId="176" fontId="21" fillId="0" borderId="4" xfId="0" applyNumberFormat="1" applyFont="1" applyBorder="1" applyAlignment="1">
      <alignment horizontal="center" vertical="center"/>
    </xf>
    <xf numFmtId="176" fontId="21" fillId="0" borderId="3" xfId="0" applyNumberFormat="1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0" fontId="0" fillId="0" borderId="13" xfId="2" applyNumberFormat="1" applyFont="1" applyBorder="1" applyAlignment="1">
      <alignment horizontal="center" vertical="center"/>
    </xf>
    <xf numFmtId="10" fontId="0" fillId="0" borderId="8" xfId="2" applyNumberFormat="1" applyFont="1" applyBorder="1" applyAlignment="1">
      <alignment horizontal="center" vertical="center"/>
    </xf>
    <xf numFmtId="176" fontId="21" fillId="0" borderId="5" xfId="0" applyNumberFormat="1" applyFont="1" applyBorder="1" applyAlignment="1">
      <alignment horizontal="center" vertical="center"/>
    </xf>
    <xf numFmtId="176" fontId="21" fillId="0" borderId="6" xfId="0" applyNumberFormat="1" applyFont="1" applyBorder="1" applyAlignment="1">
      <alignment horizontal="center" vertical="center"/>
    </xf>
    <xf numFmtId="0" fontId="4" fillId="0" borderId="24" xfId="0" applyFont="1" applyBorder="1">
      <alignment vertical="center"/>
    </xf>
    <xf numFmtId="0" fontId="4" fillId="0" borderId="25" xfId="0" applyFont="1" applyBorder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4" fillId="0" borderId="0" xfId="0" applyFont="1">
      <alignment vertical="center"/>
    </xf>
    <xf numFmtId="186" fontId="10" fillId="0" borderId="14" xfId="0" applyNumberFormat="1" applyFont="1" applyBorder="1" applyAlignment="1">
      <alignment horizontal="center" vertical="center"/>
    </xf>
    <xf numFmtId="186" fontId="10" fillId="0" borderId="15" xfId="0" applyNumberFormat="1" applyFont="1" applyBorder="1" applyAlignment="1">
      <alignment horizontal="center" vertical="center"/>
    </xf>
    <xf numFmtId="186" fontId="10" fillId="0" borderId="16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4" fillId="0" borderId="12" xfId="0" applyFont="1" applyBorder="1">
      <alignment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0" fontId="4" fillId="0" borderId="32" xfId="0" applyFont="1" applyBorder="1">
      <alignment vertical="center"/>
    </xf>
    <xf numFmtId="0" fontId="4" fillId="0" borderId="33" xfId="0" applyFont="1" applyBorder="1">
      <alignment vertical="center"/>
    </xf>
    <xf numFmtId="0" fontId="4" fillId="0" borderId="34" xfId="0" applyFont="1" applyBorder="1">
      <alignment vertical="center"/>
    </xf>
    <xf numFmtId="0" fontId="8" fillId="5" borderId="28" xfId="0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horizontal="center" vertical="center"/>
    </xf>
    <xf numFmtId="0" fontId="4" fillId="0" borderId="35" xfId="0" applyFont="1" applyBorder="1">
      <alignment vertical="center"/>
    </xf>
    <xf numFmtId="0" fontId="4" fillId="0" borderId="36" xfId="0" applyFont="1" applyBorder="1">
      <alignment vertical="center"/>
    </xf>
    <xf numFmtId="0" fontId="4" fillId="0" borderId="37" xfId="0" applyFont="1" applyBorder="1">
      <alignment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186" fontId="0" fillId="0" borderId="14" xfId="0" applyNumberFormat="1" applyBorder="1" applyAlignment="1">
      <alignment horizontal="center" vertical="center"/>
    </xf>
    <xf numFmtId="186" fontId="0" fillId="0" borderId="15" xfId="0" applyNumberFormat="1" applyBorder="1" applyAlignment="1">
      <alignment horizontal="center" vertical="center"/>
    </xf>
    <xf numFmtId="186" fontId="0" fillId="0" borderId="16" xfId="0" applyNumberForma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9" fillId="11" borderId="50" xfId="0" applyFont="1" applyFill="1" applyBorder="1" applyAlignment="1">
      <alignment horizontal="left" vertical="center" wrapText="1"/>
    </xf>
    <xf numFmtId="0" fontId="29" fillId="11" borderId="51" xfId="0" applyFont="1" applyFill="1" applyBorder="1" applyAlignment="1">
      <alignment horizontal="left" vertical="center" wrapText="1"/>
    </xf>
    <xf numFmtId="0" fontId="29" fillId="11" borderId="52" xfId="0" applyFont="1" applyFill="1" applyBorder="1" applyAlignment="1">
      <alignment horizontal="left" vertical="center" wrapText="1"/>
    </xf>
    <xf numFmtId="0" fontId="29" fillId="11" borderId="59" xfId="0" applyFont="1" applyFill="1" applyBorder="1" applyAlignment="1">
      <alignment horizontal="left" vertical="center" wrapText="1"/>
    </xf>
    <xf numFmtId="0" fontId="29" fillId="11" borderId="61" xfId="0" applyFont="1" applyFill="1" applyBorder="1" applyAlignment="1">
      <alignment horizontal="left" vertical="center" wrapText="1"/>
    </xf>
    <xf numFmtId="0" fontId="29" fillId="11" borderId="62" xfId="0" applyFont="1" applyFill="1" applyBorder="1" applyAlignment="1">
      <alignment horizontal="left" vertical="center" wrapText="1"/>
    </xf>
    <xf numFmtId="0" fontId="29" fillId="11" borderId="63" xfId="0" applyFont="1" applyFill="1" applyBorder="1" applyAlignment="1">
      <alignment horizontal="left" vertical="center" wrapText="1"/>
    </xf>
    <xf numFmtId="0" fontId="29" fillId="11" borderId="64" xfId="0" applyFont="1" applyFill="1" applyBorder="1" applyAlignment="1">
      <alignment horizontal="left" vertical="center" wrapText="1"/>
    </xf>
    <xf numFmtId="0" fontId="28" fillId="12" borderId="54" xfId="0" applyFont="1" applyFill="1" applyBorder="1" applyAlignment="1">
      <alignment horizontal="center" vertical="center"/>
    </xf>
    <xf numFmtId="0" fontId="28" fillId="12" borderId="55" xfId="0" applyFont="1" applyFill="1" applyBorder="1" applyAlignment="1">
      <alignment horizontal="center" vertical="center"/>
    </xf>
    <xf numFmtId="0" fontId="28" fillId="12" borderId="56" xfId="0" applyFont="1" applyFill="1" applyBorder="1" applyAlignment="1">
      <alignment horizontal="center" vertical="center"/>
    </xf>
    <xf numFmtId="0" fontId="28" fillId="12" borderId="57" xfId="0" applyFont="1" applyFill="1" applyBorder="1" applyAlignment="1">
      <alignment horizontal="center" vertical="center"/>
    </xf>
  </cellXfs>
  <cellStyles count="6">
    <cellStyle name="백분율" xfId="2" builtinId="5"/>
    <cellStyle name="백분율 2" xfId="4" xr:uid="{712133FA-61B2-4A98-8DBA-98C0CB99CE5C}"/>
    <cellStyle name="쉼표 [0]" xfId="1" builtinId="6"/>
    <cellStyle name="표준" xfId="0" builtinId="0"/>
    <cellStyle name="표준 2" xfId="3" xr:uid="{1C439302-670E-4B62-9FEF-C73F2306370F}"/>
    <cellStyle name="표준 3" xfId="5" xr:uid="{6BA49A77-1022-4265-86BF-3BF91CF61032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dcteams.sharepoint.com/sites/-908/Shared%20Documents/General/HARI%20C&#46321;&#44553;%20DA%20&#44032;&#44201;&#44396;&#51312;_21.10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 180_10.26"/>
      <sheetName val="DA 90_12.20"/>
      <sheetName val="포괄보험요율"/>
      <sheetName val="환가료율 정보"/>
      <sheetName val="Sheet3"/>
    </sheetNames>
    <sheetDataSet>
      <sheetData sheetId="0"/>
      <sheetData sheetId="1">
        <row r="2">
          <cell r="G2">
            <v>90</v>
          </cell>
        </row>
        <row r="3">
          <cell r="G3">
            <v>120</v>
          </cell>
        </row>
        <row r="4">
          <cell r="G4">
            <v>150</v>
          </cell>
        </row>
        <row r="5">
          <cell r="G5">
            <v>180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88F2-5574-43A0-8AC3-F63D087048A7}">
  <sheetPr>
    <pageSetUpPr fitToPage="1"/>
  </sheetPr>
  <dimension ref="A1:Y55"/>
  <sheetViews>
    <sheetView view="pageBreakPreview" topLeftCell="C2" zoomScale="85" zoomScaleNormal="55" zoomScaleSheetLayoutView="85" workbookViewId="0">
      <selection activeCell="Q21" sqref="Q21"/>
    </sheetView>
  </sheetViews>
  <sheetFormatPr defaultRowHeight="16.5" x14ac:dyDescent="0.3"/>
  <cols>
    <col min="1" max="2" width="9" customWidth="1"/>
    <col min="3" max="3" width="3.625" customWidth="1"/>
    <col min="4" max="4" width="10.5" customWidth="1"/>
    <col min="5" max="6" width="18.625" customWidth="1"/>
    <col min="7" max="7" width="2.75" customWidth="1"/>
    <col min="8" max="8" width="9" customWidth="1"/>
    <col min="9" max="9" width="10.625" customWidth="1"/>
    <col min="10" max="10" width="11.75" customWidth="1"/>
    <col min="11" max="11" width="14.125" customWidth="1"/>
    <col min="12" max="12" width="15.5" bestFit="1" customWidth="1"/>
    <col min="13" max="13" width="56" style="1" customWidth="1"/>
    <col min="14" max="14" width="3.625" customWidth="1"/>
    <col min="15" max="15" width="2.625" customWidth="1"/>
    <col min="16" max="16" width="11.5" bestFit="1" customWidth="1"/>
    <col min="17" max="17" width="9" customWidth="1"/>
  </cols>
  <sheetData>
    <row r="1" spans="1:25" ht="17.25" thickBot="1" x14ac:dyDescent="0.35"/>
    <row r="2" spans="1:25" ht="42" customHeight="1" thickBot="1" x14ac:dyDescent="0.35">
      <c r="D2" s="127" t="s">
        <v>75</v>
      </c>
      <c r="E2" s="127"/>
      <c r="F2" s="127"/>
      <c r="G2" s="127"/>
      <c r="H2" s="127"/>
      <c r="I2" s="127"/>
      <c r="J2" s="127"/>
      <c r="K2" s="127"/>
      <c r="L2" s="127"/>
      <c r="M2" s="128"/>
      <c r="P2" s="129" t="s">
        <v>54</v>
      </c>
      <c r="Q2" s="130"/>
      <c r="R2" s="130"/>
      <c r="S2" s="130"/>
      <c r="T2" s="130"/>
      <c r="U2" s="130"/>
      <c r="V2" s="130"/>
      <c r="W2" s="130"/>
      <c r="X2" s="131"/>
    </row>
    <row r="3" spans="1:25" ht="17.25" thickBot="1" x14ac:dyDescent="0.35">
      <c r="P3" s="87"/>
      <c r="X3" s="86"/>
    </row>
    <row r="4" spans="1:25" ht="17.25" thickBot="1" x14ac:dyDescent="0.35">
      <c r="D4" s="132" t="s">
        <v>1</v>
      </c>
      <c r="E4" s="135" t="str">
        <f>Q4</f>
        <v>AUTOCOM</v>
      </c>
      <c r="F4" s="136"/>
      <c r="H4" s="9" t="s">
        <v>2</v>
      </c>
      <c r="I4" s="137" t="s">
        <v>63</v>
      </c>
      <c r="J4" s="138"/>
      <c r="K4" s="138"/>
      <c r="L4" s="138"/>
      <c r="M4" s="136"/>
      <c r="P4" s="132" t="s">
        <v>1</v>
      </c>
      <c r="Q4" s="139" t="s">
        <v>64</v>
      </c>
      <c r="R4" s="140"/>
      <c r="S4" s="141"/>
      <c r="U4" s="132" t="s">
        <v>15</v>
      </c>
      <c r="V4" s="142" t="s">
        <v>66</v>
      </c>
      <c r="W4" s="140"/>
      <c r="X4" s="141"/>
    </row>
    <row r="5" spans="1:25" ht="17.25" thickBot="1" x14ac:dyDescent="0.35">
      <c r="B5">
        <v>0</v>
      </c>
      <c r="D5" s="133"/>
      <c r="E5" s="26" t="s">
        <v>3</v>
      </c>
      <c r="F5" s="5" t="str">
        <f>R5</f>
        <v>F</v>
      </c>
      <c r="H5" s="143" t="s">
        <v>53</v>
      </c>
      <c r="I5" s="145" t="s">
        <v>4</v>
      </c>
      <c r="J5" s="146"/>
      <c r="K5" s="147"/>
      <c r="L5" s="148">
        <f>X11</f>
        <v>1.2E-2</v>
      </c>
      <c r="M5" s="149"/>
      <c r="P5" s="133"/>
      <c r="Q5" s="83" t="s">
        <v>3</v>
      </c>
      <c r="R5" s="150" t="s">
        <v>65</v>
      </c>
      <c r="S5" s="151"/>
      <c r="U5" s="133"/>
      <c r="V5" s="83" t="s">
        <v>5</v>
      </c>
      <c r="W5" s="129" t="s">
        <v>56</v>
      </c>
      <c r="X5" s="131"/>
      <c r="Y5" t="s">
        <v>70</v>
      </c>
    </row>
    <row r="6" spans="1:25" ht="17.25" thickBot="1" x14ac:dyDescent="0.35">
      <c r="B6">
        <v>30</v>
      </c>
      <c r="D6" s="133"/>
      <c r="E6" s="26" t="s">
        <v>5</v>
      </c>
      <c r="F6" s="5" t="str">
        <f>R6</f>
        <v>FOB</v>
      </c>
      <c r="H6" s="144"/>
      <c r="I6" s="152" t="s">
        <v>60</v>
      </c>
      <c r="J6" s="153"/>
      <c r="K6" s="153"/>
      <c r="L6" s="154">
        <f>X12</f>
        <v>3.7999999999999999E-2</v>
      </c>
      <c r="M6" s="155"/>
      <c r="P6" s="133"/>
      <c r="Q6" s="83" t="s">
        <v>5</v>
      </c>
      <c r="R6" s="129" t="s">
        <v>56</v>
      </c>
      <c r="S6" s="131"/>
      <c r="U6" s="133"/>
      <c r="V6" s="83" t="s">
        <v>6</v>
      </c>
      <c r="W6" s="129" t="s">
        <v>40</v>
      </c>
      <c r="X6" s="131"/>
    </row>
    <row r="7" spans="1:25" ht="17.25" thickBot="1" x14ac:dyDescent="0.35">
      <c r="B7">
        <v>60</v>
      </c>
      <c r="D7" s="133"/>
      <c r="E7" s="26" t="s">
        <v>6</v>
      </c>
      <c r="F7" s="80" t="str">
        <f>R7</f>
        <v>D/A</v>
      </c>
      <c r="I7" s="43"/>
      <c r="P7" s="133"/>
      <c r="Q7" s="83" t="s">
        <v>6</v>
      </c>
      <c r="R7" s="129" t="s">
        <v>49</v>
      </c>
      <c r="S7" s="131"/>
      <c r="U7" s="134"/>
      <c r="V7" s="84" t="s">
        <v>8</v>
      </c>
      <c r="W7" s="156">
        <v>90</v>
      </c>
      <c r="X7" s="157"/>
      <c r="Y7" t="s">
        <v>71</v>
      </c>
    </row>
    <row r="8" spans="1:25" ht="17.25" customHeight="1" thickBot="1" x14ac:dyDescent="0.35">
      <c r="B8">
        <v>90</v>
      </c>
      <c r="D8" s="134"/>
      <c r="E8" s="26" t="s">
        <v>8</v>
      </c>
      <c r="F8" s="82">
        <f>R8</f>
        <v>180</v>
      </c>
      <c r="H8" s="152" t="s">
        <v>9</v>
      </c>
      <c r="I8" s="153"/>
      <c r="J8" s="153"/>
      <c r="K8" s="9" t="s">
        <v>10</v>
      </c>
      <c r="L8" s="40" t="s">
        <v>11</v>
      </c>
      <c r="M8" s="7" t="s">
        <v>12</v>
      </c>
      <c r="O8" s="46"/>
      <c r="P8" s="134"/>
      <c r="Q8" s="84" t="s">
        <v>8</v>
      </c>
      <c r="R8" s="156">
        <v>180</v>
      </c>
      <c r="S8" s="157"/>
      <c r="X8" s="86"/>
    </row>
    <row r="9" spans="1:25" ht="17.25" thickBot="1" x14ac:dyDescent="0.35">
      <c r="B9">
        <v>120</v>
      </c>
      <c r="H9" s="158" t="s">
        <v>14</v>
      </c>
      <c r="I9" s="159"/>
      <c r="J9" s="159"/>
      <c r="K9" s="54">
        <v>6000000</v>
      </c>
      <c r="L9" s="44">
        <f>K9/$K$24</f>
        <v>0.95298037703810934</v>
      </c>
      <c r="M9" s="15" t="s">
        <v>68</v>
      </c>
      <c r="P9" s="91"/>
      <c r="Q9" s="160"/>
      <c r="R9" s="160"/>
      <c r="S9" s="160"/>
      <c r="X9" s="86"/>
    </row>
    <row r="10" spans="1:25" ht="18" thickTop="1" thickBot="1" x14ac:dyDescent="0.35">
      <c r="B10">
        <v>150</v>
      </c>
      <c r="D10" s="132" t="s">
        <v>15</v>
      </c>
      <c r="E10" s="135" t="str">
        <f>V4</f>
        <v>JAC</v>
      </c>
      <c r="F10" s="136"/>
      <c r="H10" s="167" t="s">
        <v>16</v>
      </c>
      <c r="I10" s="168"/>
      <c r="J10" s="168"/>
      <c r="K10" s="50">
        <v>0</v>
      </c>
      <c r="L10" s="20">
        <f t="shared" ref="L10:L19" si="0">K10/$K$24</f>
        <v>0</v>
      </c>
      <c r="M10" s="6" t="s">
        <v>17</v>
      </c>
      <c r="P10" s="161" t="s">
        <v>59</v>
      </c>
      <c r="Q10" s="49" t="s">
        <v>31</v>
      </c>
      <c r="R10" s="78" t="s">
        <v>0</v>
      </c>
      <c r="S10" s="79" t="s">
        <v>52</v>
      </c>
      <c r="U10" s="164" t="s">
        <v>53</v>
      </c>
      <c r="V10" s="165"/>
      <c r="W10" s="165"/>
      <c r="X10" s="166"/>
    </row>
    <row r="11" spans="1:25" ht="17.25" thickBot="1" x14ac:dyDescent="0.35">
      <c r="B11">
        <v>180</v>
      </c>
      <c r="D11" s="133"/>
      <c r="E11" s="26" t="s">
        <v>5</v>
      </c>
      <c r="F11" s="5" t="str">
        <f>W5</f>
        <v>FOB</v>
      </c>
      <c r="H11" s="167" t="s">
        <v>18</v>
      </c>
      <c r="I11" s="168"/>
      <c r="J11" s="168"/>
      <c r="K11" s="50">
        <v>0</v>
      </c>
      <c r="L11" s="20">
        <f t="shared" si="0"/>
        <v>0</v>
      </c>
      <c r="M11" s="6" t="s">
        <v>17</v>
      </c>
      <c r="P11" s="162"/>
      <c r="Q11" s="169">
        <v>46099</v>
      </c>
      <c r="R11" s="10">
        <v>30</v>
      </c>
      <c r="S11" s="92">
        <v>3.6750400000000003E-2</v>
      </c>
      <c r="U11" s="137" t="s">
        <v>4</v>
      </c>
      <c r="V11" s="138"/>
      <c r="W11" s="138"/>
      <c r="X11" s="97">
        <v>1.2E-2</v>
      </c>
    </row>
    <row r="12" spans="1:25" ht="17.25" thickBot="1" x14ac:dyDescent="0.35">
      <c r="B12">
        <v>1</v>
      </c>
      <c r="D12" s="133"/>
      <c r="E12" s="26" t="s">
        <v>6</v>
      </c>
      <c r="F12" s="85" t="str">
        <f>W6</f>
        <v>L/C</v>
      </c>
      <c r="G12" s="3"/>
      <c r="H12" s="167" t="s">
        <v>19</v>
      </c>
      <c r="I12" s="168"/>
      <c r="J12" s="168"/>
      <c r="K12" s="50">
        <v>0</v>
      </c>
      <c r="L12" s="20">
        <f t="shared" si="0"/>
        <v>0</v>
      </c>
      <c r="M12" s="6"/>
      <c r="O12" s="41"/>
      <c r="P12" s="162"/>
      <c r="Q12" s="170"/>
      <c r="R12" s="59">
        <v>60</v>
      </c>
      <c r="S12" s="93">
        <v>3.6852599999999999E-2</v>
      </c>
      <c r="U12" s="172" t="s">
        <v>60</v>
      </c>
      <c r="V12" s="173"/>
      <c r="W12" s="173"/>
      <c r="X12" s="98">
        <v>3.7999999999999999E-2</v>
      </c>
    </row>
    <row r="13" spans="1:25" ht="17.25" thickBot="1" x14ac:dyDescent="0.35">
      <c r="A13" s="28"/>
      <c r="B13">
        <v>2</v>
      </c>
      <c r="D13" s="134"/>
      <c r="E13" s="26" t="s">
        <v>8</v>
      </c>
      <c r="F13" s="81">
        <f>W7</f>
        <v>90</v>
      </c>
      <c r="G13" s="2"/>
      <c r="H13" s="167" t="s">
        <v>20</v>
      </c>
      <c r="I13" s="168"/>
      <c r="J13" s="168"/>
      <c r="K13" s="99">
        <f>K24*F21*0.85</f>
        <v>30504.300718499999</v>
      </c>
      <c r="L13" s="20">
        <f>K13/$K$24</f>
        <v>4.8450000000000003E-3</v>
      </c>
      <c r="M13" s="8" t="s">
        <v>83</v>
      </c>
      <c r="O13" s="41"/>
      <c r="P13" s="162"/>
      <c r="Q13" s="170"/>
      <c r="R13" s="11">
        <v>90</v>
      </c>
      <c r="S13" s="93">
        <v>3.6852599999999999E-2</v>
      </c>
      <c r="U13" t="s">
        <v>69</v>
      </c>
      <c r="X13" s="86"/>
    </row>
    <row r="14" spans="1:25" ht="17.25" thickBot="1" x14ac:dyDescent="0.35">
      <c r="A14" s="29"/>
      <c r="B14">
        <v>3</v>
      </c>
      <c r="G14" s="2"/>
      <c r="H14" s="18" t="s">
        <v>21</v>
      </c>
      <c r="I14" s="19"/>
      <c r="J14" s="19"/>
      <c r="K14" s="50">
        <f>IF(F12="L/C",K9*0.3%*60/360,0)</f>
        <v>3000</v>
      </c>
      <c r="L14" s="20">
        <f>K14/$K$24</f>
        <v>4.7649018851905468E-4</v>
      </c>
      <c r="M14" s="77" t="s">
        <v>51</v>
      </c>
      <c r="O14" s="41"/>
      <c r="P14" s="162"/>
      <c r="Q14" s="170"/>
      <c r="R14" s="11">
        <v>120</v>
      </c>
      <c r="S14" s="94">
        <v>3.6679099999999999E-2</v>
      </c>
      <c r="X14" s="86"/>
    </row>
    <row r="15" spans="1:25" ht="16.5" customHeight="1" thickBot="1" x14ac:dyDescent="0.35">
      <c r="A15" s="30"/>
      <c r="B15">
        <v>4</v>
      </c>
      <c r="D15" s="49" t="s">
        <v>73</v>
      </c>
      <c r="E15" s="174" t="s">
        <v>67</v>
      </c>
      <c r="F15" s="175"/>
      <c r="G15" s="2"/>
      <c r="H15" s="167" t="s">
        <v>22</v>
      </c>
      <c r="I15" s="168"/>
      <c r="J15" s="176"/>
      <c r="K15" s="50">
        <v>0</v>
      </c>
      <c r="L15" s="20">
        <f t="shared" si="0"/>
        <v>0</v>
      </c>
      <c r="M15" s="8"/>
      <c r="O15" s="41"/>
      <c r="P15" s="162"/>
      <c r="Q15" s="170"/>
      <c r="R15" s="11">
        <v>150</v>
      </c>
      <c r="S15" s="94">
        <v>3.6679099999999999E-2</v>
      </c>
      <c r="X15" s="86"/>
    </row>
    <row r="16" spans="1:25" x14ac:dyDescent="0.3">
      <c r="A16" s="31"/>
      <c r="B16">
        <v>5</v>
      </c>
      <c r="D16" s="177" t="s">
        <v>84</v>
      </c>
      <c r="E16" s="10">
        <v>30</v>
      </c>
      <c r="F16" s="27">
        <v>2.3E-3</v>
      </c>
      <c r="G16" s="2"/>
      <c r="H16" s="167" t="s">
        <v>23</v>
      </c>
      <c r="I16" s="168"/>
      <c r="J16" s="176"/>
      <c r="K16" s="50">
        <f>K24*0.02%</f>
        <v>1259.2074600000001</v>
      </c>
      <c r="L16" s="20">
        <f t="shared" si="0"/>
        <v>2.0000000000000001E-4</v>
      </c>
      <c r="M16" s="6" t="s">
        <v>57</v>
      </c>
      <c r="O16" s="41"/>
      <c r="P16" s="162"/>
      <c r="Q16" s="170"/>
      <c r="R16" s="11">
        <v>180</v>
      </c>
      <c r="S16" s="94">
        <v>3.6679099999999999E-2</v>
      </c>
      <c r="X16" s="86"/>
    </row>
    <row r="17" spans="1:24" ht="17.25" thickBot="1" x14ac:dyDescent="0.35">
      <c r="A17" s="32"/>
      <c r="B17">
        <v>6</v>
      </c>
      <c r="D17" s="177"/>
      <c r="E17" s="11">
        <v>60</v>
      </c>
      <c r="F17" s="45">
        <v>2.8E-3</v>
      </c>
      <c r="G17" s="2"/>
      <c r="H17" s="179" t="s">
        <v>24</v>
      </c>
      <c r="I17" s="180"/>
      <c r="J17" s="181"/>
      <c r="K17" s="50">
        <v>0</v>
      </c>
      <c r="L17" s="20">
        <f t="shared" si="0"/>
        <v>0</v>
      </c>
      <c r="M17" s="6" t="s">
        <v>25</v>
      </c>
      <c r="O17" s="41"/>
      <c r="P17" s="163"/>
      <c r="Q17" s="171"/>
      <c r="R17" s="12">
        <v>360</v>
      </c>
      <c r="S17" s="95">
        <v>3.6130700000000002E-2</v>
      </c>
      <c r="X17" s="86"/>
    </row>
    <row r="18" spans="1:24" ht="17.25" thickBot="1" x14ac:dyDescent="0.35">
      <c r="A18" s="33"/>
      <c r="B18">
        <v>7</v>
      </c>
      <c r="D18" s="177"/>
      <c r="E18" s="11">
        <v>90</v>
      </c>
      <c r="F18" s="100">
        <v>3.3E-3</v>
      </c>
      <c r="G18" s="2"/>
      <c r="H18" s="182" t="s">
        <v>26</v>
      </c>
      <c r="I18" s="183"/>
      <c r="J18" s="184"/>
      <c r="K18" s="51">
        <f>SUM(K10:K17)</f>
        <v>34763.5081785</v>
      </c>
      <c r="L18" s="21">
        <f t="shared" si="0"/>
        <v>5.521490188519055E-3</v>
      </c>
      <c r="M18" s="17"/>
      <c r="O18" s="41"/>
      <c r="P18" s="87" t="s">
        <v>55</v>
      </c>
      <c r="X18" s="86"/>
    </row>
    <row r="19" spans="1:24" ht="17.25" customHeight="1" thickTop="1" thickBot="1" x14ac:dyDescent="0.35">
      <c r="A19" s="34"/>
      <c r="D19" s="177"/>
      <c r="E19" s="11">
        <v>120</v>
      </c>
      <c r="F19" s="102">
        <v>4.1000000000000003E-3</v>
      </c>
      <c r="G19" s="2"/>
      <c r="H19" s="185" t="s">
        <v>27</v>
      </c>
      <c r="I19" s="186"/>
      <c r="J19" s="187"/>
      <c r="K19" s="52">
        <f>K24*VLOOKUP(F8,D34:F40,3,FALSE)*F8/360</f>
        <v>140650.640065215</v>
      </c>
      <c r="L19" s="20">
        <f t="shared" si="0"/>
        <v>2.233955E-2</v>
      </c>
      <c r="M19" s="8" t="s">
        <v>28</v>
      </c>
      <c r="O19" s="41"/>
      <c r="P19" s="88"/>
      <c r="Q19" s="89"/>
      <c r="R19" s="89"/>
      <c r="S19" s="89"/>
      <c r="T19" s="89"/>
      <c r="U19" s="89"/>
      <c r="V19" s="89"/>
      <c r="W19" s="89"/>
      <c r="X19" s="90"/>
    </row>
    <row r="20" spans="1:24" ht="17.25" thickBot="1" x14ac:dyDescent="0.35">
      <c r="B20" t="str">
        <f t="shared" ref="B20:B25" si="1">MID("ABCDEFGHIJKLMNOPQRSTUVWXYZ",B12,1)</f>
        <v>A</v>
      </c>
      <c r="D20" s="177"/>
      <c r="E20" s="11">
        <v>150</v>
      </c>
      <c r="F20" s="45">
        <v>4.8999999999999998E-3</v>
      </c>
      <c r="G20" s="2"/>
      <c r="H20" s="182" t="s">
        <v>29</v>
      </c>
      <c r="I20" s="183"/>
      <c r="J20" s="184"/>
      <c r="K20" s="53">
        <f>K19</f>
        <v>140650.640065215</v>
      </c>
      <c r="L20" s="22">
        <f>L19</f>
        <v>2.233955E-2</v>
      </c>
      <c r="M20" s="17" t="s">
        <v>17</v>
      </c>
      <c r="O20" s="41"/>
    </row>
    <row r="21" spans="1:24" ht="17.25" customHeight="1" thickTop="1" thickBot="1" x14ac:dyDescent="0.35">
      <c r="A21" s="35"/>
      <c r="B21" t="str">
        <f t="shared" si="1"/>
        <v>B</v>
      </c>
      <c r="D21" s="178"/>
      <c r="E21" s="12">
        <v>180</v>
      </c>
      <c r="F21" s="100">
        <v>5.7000000000000002E-3</v>
      </c>
      <c r="G21" s="2"/>
      <c r="H21" s="188" t="s">
        <v>30</v>
      </c>
      <c r="I21" s="189"/>
      <c r="J21" s="189"/>
      <c r="K21" s="55">
        <f>SUM(K18+K20)</f>
        <v>175414.148243715</v>
      </c>
      <c r="L21" s="23">
        <f>K21/K24</f>
        <v>2.7861040188519055E-2</v>
      </c>
      <c r="M21" s="16"/>
      <c r="O21" s="41"/>
    </row>
    <row r="22" spans="1:24" ht="17.25" thickBot="1" x14ac:dyDescent="0.35">
      <c r="B22" t="str">
        <f t="shared" si="1"/>
        <v>C</v>
      </c>
      <c r="F22" s="101" t="s">
        <v>74</v>
      </c>
      <c r="G22" s="2"/>
      <c r="O22" s="41"/>
      <c r="P22" s="104"/>
      <c r="Q22" s="41"/>
      <c r="R22" s="41"/>
      <c r="S22" s="41"/>
      <c r="T22" s="41"/>
      <c r="U22" s="41"/>
      <c r="V22" s="41"/>
      <c r="W22" s="41"/>
    </row>
    <row r="23" spans="1:24" ht="17.25" thickBot="1" x14ac:dyDescent="0.35">
      <c r="B23" t="str">
        <f t="shared" si="1"/>
        <v>D</v>
      </c>
      <c r="D23" s="49" t="s">
        <v>31</v>
      </c>
      <c r="E23" s="174" t="s">
        <v>59</v>
      </c>
      <c r="F23" s="175"/>
      <c r="G23" s="2"/>
      <c r="H23" s="152" t="s">
        <v>9</v>
      </c>
      <c r="I23" s="153"/>
      <c r="J23" s="153"/>
      <c r="K23" s="9" t="s">
        <v>10</v>
      </c>
      <c r="L23" s="36" t="s">
        <v>32</v>
      </c>
      <c r="M23" s="7" t="s">
        <v>12</v>
      </c>
      <c r="O23" s="41"/>
      <c r="P23" s="41"/>
      <c r="Q23" s="41"/>
      <c r="R23" s="41"/>
      <c r="S23" s="41"/>
      <c r="T23" s="41"/>
      <c r="U23" s="41"/>
      <c r="V23" s="41"/>
      <c r="W23" s="41"/>
    </row>
    <row r="24" spans="1:24" x14ac:dyDescent="0.3">
      <c r="B24" t="str">
        <f t="shared" si="1"/>
        <v>E</v>
      </c>
      <c r="D24" s="196">
        <f>Q11</f>
        <v>46099</v>
      </c>
      <c r="E24" s="10">
        <v>30</v>
      </c>
      <c r="F24" s="27">
        <f t="shared" ref="F24:F25" si="2">S11</f>
        <v>3.6750400000000003E-2</v>
      </c>
      <c r="G24" s="2"/>
      <c r="H24" s="199" t="s">
        <v>33</v>
      </c>
      <c r="I24" s="200"/>
      <c r="J24" s="200"/>
      <c r="K24" s="68">
        <f>K9+K25+K26</f>
        <v>6296037.2999999998</v>
      </c>
      <c r="L24" s="37">
        <f>K24/$K$24</f>
        <v>1</v>
      </c>
      <c r="M24" s="4" t="s">
        <v>34</v>
      </c>
      <c r="O24" s="41"/>
      <c r="P24" s="41"/>
      <c r="Q24" s="41"/>
      <c r="R24" s="41"/>
      <c r="S24" s="41"/>
      <c r="T24" s="41"/>
      <c r="U24" s="41"/>
      <c r="V24" s="41"/>
      <c r="W24" s="41"/>
    </row>
    <row r="25" spans="1:24" ht="17.25" customHeight="1" x14ac:dyDescent="0.3">
      <c r="B25" t="str">
        <f t="shared" si="1"/>
        <v>F</v>
      </c>
      <c r="D25" s="197"/>
      <c r="E25" s="59">
        <v>60</v>
      </c>
      <c r="F25" s="45">
        <f t="shared" si="2"/>
        <v>3.6852599999999999E-2</v>
      </c>
      <c r="G25" s="2"/>
      <c r="H25" s="201" t="s">
        <v>62</v>
      </c>
      <c r="I25" s="202"/>
      <c r="J25" s="202"/>
      <c r="K25" s="69">
        <f>ROUND(K9*(S16+L6)*F8/360,2)</f>
        <v>224037.3</v>
      </c>
      <c r="L25" s="38">
        <f>K25/$K$24</f>
        <v>3.5583858437433336E-2</v>
      </c>
      <c r="M25" s="8"/>
      <c r="O25" s="41"/>
      <c r="P25" s="41"/>
      <c r="Q25" s="41"/>
      <c r="R25" s="41"/>
      <c r="S25" s="41"/>
      <c r="T25" s="41"/>
      <c r="U25" s="41"/>
      <c r="V25" s="41"/>
      <c r="W25" s="41"/>
    </row>
    <row r="26" spans="1:24" ht="17.25" customHeight="1" x14ac:dyDescent="0.3">
      <c r="D26" s="197"/>
      <c r="E26" s="11">
        <v>90</v>
      </c>
      <c r="F26" s="45">
        <f>S13</f>
        <v>3.6852599999999999E-2</v>
      </c>
      <c r="G26" s="2"/>
      <c r="H26" s="201" t="s">
        <v>61</v>
      </c>
      <c r="I26" s="202"/>
      <c r="J26" s="203"/>
      <c r="K26" s="69">
        <f>K9*L5</f>
        <v>72000</v>
      </c>
      <c r="L26" s="38">
        <f>K26/$K$24</f>
        <v>1.1435764524457312E-2</v>
      </c>
      <c r="M26" s="8"/>
      <c r="O26" s="41"/>
      <c r="P26" s="41"/>
      <c r="Q26" s="41"/>
      <c r="R26" s="41"/>
      <c r="S26" s="41"/>
      <c r="T26" s="41"/>
      <c r="U26" s="41"/>
      <c r="V26" s="41"/>
      <c r="W26" s="41"/>
    </row>
    <row r="27" spans="1:24" x14ac:dyDescent="0.3">
      <c r="B27" t="str">
        <f>MID("ABCDEFGHIJKLMNOPQRSTUVWXYZ",B18,1)</f>
        <v>G</v>
      </c>
      <c r="D27" s="197"/>
      <c r="E27" s="11">
        <v>120</v>
      </c>
      <c r="F27" s="103">
        <f>S14</f>
        <v>3.6679099999999999E-2</v>
      </c>
      <c r="G27" s="2"/>
      <c r="H27" s="201" t="s">
        <v>35</v>
      </c>
      <c r="I27" s="202"/>
      <c r="J27" s="202"/>
      <c r="K27" s="69">
        <f>K25+K26-K18</f>
        <v>261273.7918215</v>
      </c>
      <c r="L27" s="38">
        <f>K27/$K$24</f>
        <v>4.1498132773371596E-2</v>
      </c>
      <c r="M27" s="8" t="s">
        <v>36</v>
      </c>
      <c r="O27" s="41"/>
      <c r="P27" s="41"/>
      <c r="Q27" s="41"/>
      <c r="R27" s="41"/>
      <c r="S27" s="41"/>
      <c r="T27" s="41"/>
      <c r="U27" s="41"/>
      <c r="V27" s="41"/>
      <c r="W27" s="41"/>
    </row>
    <row r="28" spans="1:24" ht="17.25" thickBot="1" x14ac:dyDescent="0.35">
      <c r="D28" s="197"/>
      <c r="E28" s="11">
        <v>150</v>
      </c>
      <c r="F28" s="45">
        <f>S15</f>
        <v>3.6679099999999999E-2</v>
      </c>
      <c r="G28" s="2"/>
      <c r="H28" s="204" t="s">
        <v>37</v>
      </c>
      <c r="I28" s="205"/>
      <c r="J28" s="205"/>
      <c r="K28" s="70">
        <f>K25+K26-K21</f>
        <v>120623.15175628499</v>
      </c>
      <c r="L28" s="39">
        <f>K28/$K$24</f>
        <v>1.9158582773371593E-2</v>
      </c>
      <c r="M28" s="14" t="s">
        <v>72</v>
      </c>
      <c r="O28" s="41"/>
      <c r="P28" s="41"/>
      <c r="Q28" s="41"/>
      <c r="R28" s="41"/>
      <c r="S28" s="41"/>
      <c r="T28" s="41"/>
      <c r="U28" s="41"/>
      <c r="V28" s="41"/>
      <c r="W28" s="41"/>
    </row>
    <row r="29" spans="1:24" ht="17.25" thickBot="1" x14ac:dyDescent="0.35">
      <c r="B29" s="1" cm="1">
        <f t="array" aca="1" ref="B29" ca="1">COLUMN(INDIRECT(D16&amp;1))</f>
        <v>2</v>
      </c>
      <c r="D29" s="197"/>
      <c r="E29" s="11">
        <v>180</v>
      </c>
      <c r="F29" s="45">
        <f>S16</f>
        <v>3.6679099999999999E-2</v>
      </c>
      <c r="K29" s="42"/>
      <c r="O29" s="41"/>
      <c r="P29" s="76" t="s">
        <v>13</v>
      </c>
      <c r="Q29" s="41"/>
      <c r="R29" s="41"/>
      <c r="S29" s="41"/>
      <c r="T29" s="41"/>
      <c r="U29" s="41"/>
      <c r="V29" s="41"/>
      <c r="W29" s="41"/>
    </row>
    <row r="30" spans="1:24" ht="17.25" thickBot="1" x14ac:dyDescent="0.35">
      <c r="D30" s="198"/>
      <c r="E30" s="12">
        <v>360</v>
      </c>
      <c r="F30" s="96">
        <f>S17</f>
        <v>3.6130700000000002E-2</v>
      </c>
      <c r="H30" s="152" t="s">
        <v>12</v>
      </c>
      <c r="I30" s="153"/>
      <c r="J30" s="153"/>
      <c r="K30" s="153"/>
      <c r="L30" s="153"/>
      <c r="M30" s="206"/>
      <c r="O30" s="41"/>
      <c r="P30" s="71"/>
      <c r="Q30" s="72">
        <v>1</v>
      </c>
      <c r="R30" s="72">
        <v>2</v>
      </c>
      <c r="S30" s="72">
        <v>3</v>
      </c>
      <c r="T30" s="72">
        <v>4</v>
      </c>
      <c r="U30" s="72">
        <v>5</v>
      </c>
      <c r="V30" s="72">
        <v>6</v>
      </c>
      <c r="W30" s="72">
        <v>7</v>
      </c>
    </row>
    <row r="31" spans="1:24" ht="17.25" customHeight="1" thickBot="1" x14ac:dyDescent="0.35">
      <c r="B31" t="s">
        <v>7</v>
      </c>
      <c r="D31" s="58"/>
      <c r="E31" s="47"/>
      <c r="F31" s="47"/>
      <c r="H31" s="190"/>
      <c r="I31" s="191"/>
      <c r="J31" s="191"/>
      <c r="K31" s="191"/>
      <c r="L31" s="191"/>
      <c r="M31" s="192"/>
      <c r="O31" s="41"/>
      <c r="P31" s="73">
        <v>30</v>
      </c>
      <c r="Q31" s="74">
        <v>1.9832463333333329E-3</v>
      </c>
      <c r="R31" s="74">
        <v>2.9267343333333326E-3</v>
      </c>
      <c r="S31" s="74">
        <v>3.5073423333333324E-3</v>
      </c>
      <c r="T31" s="74">
        <v>4.0879503333333331E-3</v>
      </c>
      <c r="U31" s="74">
        <v>4.6685583333333329E-3</v>
      </c>
      <c r="V31" s="74">
        <v>5.2491663333333327E-3</v>
      </c>
      <c r="W31" s="74">
        <v>6.7006863333333331E-3</v>
      </c>
    </row>
    <row r="32" spans="1:24" ht="17.25" thickBot="1" x14ac:dyDescent="0.35">
      <c r="B32" t="s">
        <v>48</v>
      </c>
      <c r="D32" s="49" t="s">
        <v>31</v>
      </c>
      <c r="E32" s="194" t="s">
        <v>58</v>
      </c>
      <c r="F32" s="195"/>
      <c r="H32" s="190"/>
      <c r="I32" s="191"/>
      <c r="J32" s="191"/>
      <c r="K32" s="191"/>
      <c r="L32" s="191"/>
      <c r="M32" s="192"/>
      <c r="O32" s="41"/>
      <c r="P32" s="73">
        <v>60</v>
      </c>
      <c r="Q32" s="74">
        <v>3.3740660000000002E-3</v>
      </c>
      <c r="R32" s="74">
        <v>4.5352819999999999E-3</v>
      </c>
      <c r="S32" s="74">
        <v>5.2610419999999996E-3</v>
      </c>
      <c r="T32" s="74">
        <v>5.9868019999999994E-3</v>
      </c>
      <c r="U32" s="74">
        <v>6.6399859999999996E-3</v>
      </c>
      <c r="V32" s="74">
        <v>7.3657459999999994E-3</v>
      </c>
      <c r="W32" s="75">
        <v>9.1801459999999984E-3</v>
      </c>
    </row>
    <row r="33" spans="2:23" ht="17.25" customHeight="1" thickBot="1" x14ac:dyDescent="0.35">
      <c r="B33" t="s">
        <v>38</v>
      </c>
      <c r="D33" s="61">
        <v>46099</v>
      </c>
      <c r="E33" s="66" t="s">
        <v>40</v>
      </c>
      <c r="F33" s="48" t="s">
        <v>7</v>
      </c>
      <c r="H33" s="190"/>
      <c r="I33" s="191"/>
      <c r="J33" s="191"/>
      <c r="K33" s="191"/>
      <c r="L33" s="191"/>
      <c r="M33" s="192"/>
      <c r="O33" s="41"/>
      <c r="P33" s="73">
        <v>90</v>
      </c>
      <c r="Q33" s="74">
        <v>4.5982189999999997E-3</v>
      </c>
      <c r="R33" s="74">
        <v>5.9771629999999997E-3</v>
      </c>
      <c r="S33" s="74">
        <v>6.8480749999999995E-3</v>
      </c>
      <c r="T33" s="74">
        <v>7.6464109999999997E-3</v>
      </c>
      <c r="U33" s="74">
        <v>8.5173230000000003E-3</v>
      </c>
      <c r="V33" s="74">
        <v>9.3156589999999987E-3</v>
      </c>
      <c r="W33" s="74">
        <v>1.1492939000000001E-2</v>
      </c>
    </row>
    <row r="34" spans="2:23" ht="17.25" thickBot="1" x14ac:dyDescent="0.35">
      <c r="B34" t="s">
        <v>39</v>
      </c>
      <c r="D34" s="62">
        <v>30</v>
      </c>
      <c r="E34" s="67">
        <f>$F$24+E52</f>
        <v>4.3250400000000001E-2</v>
      </c>
      <c r="F34" s="45">
        <f>$F$24+E46</f>
        <v>4.4750400000000003E-2</v>
      </c>
      <c r="H34" s="190"/>
      <c r="I34" s="191"/>
      <c r="J34" s="191"/>
      <c r="K34" s="191"/>
      <c r="L34" s="191"/>
      <c r="M34" s="192"/>
      <c r="O34" s="41"/>
      <c r="P34" s="73">
        <v>120</v>
      </c>
      <c r="Q34" s="74">
        <v>6.7565906666666661E-3</v>
      </c>
      <c r="R34" s="74">
        <v>8.4258386666666678E-3</v>
      </c>
      <c r="S34" s="74">
        <v>9.5144786666666661E-3</v>
      </c>
      <c r="T34" s="74">
        <v>1.0530542666666667E-2</v>
      </c>
      <c r="U34" s="74">
        <v>1.1546606666666666E-2</v>
      </c>
      <c r="V34" s="74">
        <v>1.256267066666667E-2</v>
      </c>
      <c r="W34" s="74">
        <v>1.5247982666666668E-2</v>
      </c>
    </row>
    <row r="35" spans="2:23" ht="17.25" thickBot="1" x14ac:dyDescent="0.35">
      <c r="D35" s="63">
        <v>60</v>
      </c>
      <c r="E35" s="56">
        <f>$F$25+E53</f>
        <v>4.4352599999999999E-2</v>
      </c>
      <c r="F35" s="45">
        <f>$F$25+E47</f>
        <v>4.4852599999999999E-2</v>
      </c>
      <c r="H35" s="190"/>
      <c r="I35" s="191"/>
      <c r="J35" s="191"/>
      <c r="K35" s="191"/>
      <c r="L35" s="191"/>
      <c r="M35" s="192"/>
      <c r="O35" s="41"/>
      <c r="P35" s="73">
        <v>180</v>
      </c>
      <c r="Q35" s="74">
        <v>9.8171579999999977E-3</v>
      </c>
      <c r="R35" s="74">
        <v>1.213959E-2</v>
      </c>
      <c r="S35" s="74">
        <v>1.3591109999999998E-2</v>
      </c>
      <c r="T35" s="74">
        <v>1.4970054000000002E-2</v>
      </c>
      <c r="U35" s="74">
        <v>1.6421573999999998E-2</v>
      </c>
      <c r="V35" s="74">
        <v>1.7800517999999998E-2</v>
      </c>
      <c r="W35" s="75">
        <v>2.1574470000000002E-2</v>
      </c>
    </row>
    <row r="36" spans="2:23" x14ac:dyDescent="0.3">
      <c r="D36" s="64">
        <v>90</v>
      </c>
      <c r="E36" s="56">
        <f>$F$26+E53</f>
        <v>4.4352599999999999E-2</v>
      </c>
      <c r="F36" s="25">
        <f>$F$26+E47</f>
        <v>4.4852599999999999E-2</v>
      </c>
      <c r="H36" s="190"/>
      <c r="I36" s="191"/>
      <c r="J36" s="191"/>
      <c r="K36" s="191"/>
      <c r="L36" s="191"/>
      <c r="M36" s="192"/>
      <c r="O36" s="41"/>
      <c r="P36" s="41"/>
      <c r="Q36" s="41"/>
      <c r="R36" s="41"/>
      <c r="S36" s="41"/>
      <c r="T36" s="41"/>
      <c r="U36" s="41"/>
      <c r="V36" s="41"/>
      <c r="W36" s="41"/>
    </row>
    <row r="37" spans="2:23" x14ac:dyDescent="0.3">
      <c r="D37" s="64">
        <v>120</v>
      </c>
      <c r="E37" s="56">
        <f>$F$27+E54</f>
        <v>4.4679099999999999E-2</v>
      </c>
      <c r="F37" s="102">
        <f>$F$27+E48</f>
        <v>4.4679099999999999E-2</v>
      </c>
      <c r="H37" s="190"/>
      <c r="I37" s="191"/>
      <c r="J37" s="191"/>
      <c r="K37" s="191"/>
      <c r="L37" s="191"/>
      <c r="M37" s="192"/>
      <c r="O37" s="41"/>
      <c r="P37" s="41"/>
      <c r="Q37" s="41"/>
      <c r="R37" s="41"/>
      <c r="S37" s="41"/>
      <c r="T37" s="41"/>
      <c r="U37" s="41"/>
      <c r="V37" s="41"/>
      <c r="W37" s="41"/>
    </row>
    <row r="38" spans="2:23" x14ac:dyDescent="0.3">
      <c r="D38" s="64">
        <v>150</v>
      </c>
      <c r="E38" s="56">
        <f>$F$28+E54</f>
        <v>4.4679099999999999E-2</v>
      </c>
      <c r="F38" s="25">
        <f>$F$28+E48</f>
        <v>4.4679099999999999E-2</v>
      </c>
      <c r="H38" s="190"/>
      <c r="I38" s="191"/>
      <c r="J38" s="191"/>
      <c r="K38" s="191"/>
      <c r="L38" s="191"/>
      <c r="M38" s="192"/>
      <c r="O38" s="41"/>
      <c r="P38" s="41"/>
      <c r="Q38" s="41"/>
      <c r="R38" s="41"/>
      <c r="S38" s="41"/>
      <c r="T38" s="41"/>
      <c r="U38" s="41"/>
      <c r="V38" s="41"/>
      <c r="W38" s="41"/>
    </row>
    <row r="39" spans="2:23" x14ac:dyDescent="0.3">
      <c r="D39" s="64">
        <v>180</v>
      </c>
      <c r="E39" s="56">
        <f>$F$29+E54</f>
        <v>4.4679099999999999E-2</v>
      </c>
      <c r="F39" s="25">
        <f>$F$29+E48</f>
        <v>4.4679099999999999E-2</v>
      </c>
      <c r="H39" s="190"/>
      <c r="I39" s="191"/>
      <c r="J39" s="191"/>
      <c r="K39" s="191"/>
      <c r="L39" s="191"/>
      <c r="M39" s="192"/>
      <c r="O39" s="41"/>
      <c r="P39" s="41">
        <v>1.85</v>
      </c>
      <c r="Q39" s="41">
        <v>1.75</v>
      </c>
      <c r="R39" s="41"/>
      <c r="S39" s="41"/>
      <c r="T39" s="41"/>
      <c r="U39" s="41"/>
      <c r="V39" s="41"/>
      <c r="W39" s="41"/>
    </row>
    <row r="40" spans="2:23" ht="17.25" thickBot="1" x14ac:dyDescent="0.35">
      <c r="D40" s="65">
        <v>360</v>
      </c>
      <c r="E40" s="57">
        <f>$F$30+E55</f>
        <v>4.8630699999999999E-2</v>
      </c>
      <c r="F40" s="13">
        <f>$F$30+E49</f>
        <v>4.4130700000000002E-2</v>
      </c>
      <c r="H40" s="172"/>
      <c r="I40" s="173"/>
      <c r="J40" s="173"/>
      <c r="K40" s="173"/>
      <c r="L40" s="173"/>
      <c r="M40" s="193"/>
      <c r="O40" s="41"/>
      <c r="P40" s="41">
        <f>4.21496+2.9</f>
        <v>7.11496</v>
      </c>
      <c r="Q40" s="41">
        <f>4.21496+2.9</f>
        <v>7.11496</v>
      </c>
      <c r="R40" s="41"/>
      <c r="S40" s="41"/>
      <c r="T40" s="41"/>
      <c r="U40" s="41"/>
      <c r="V40" s="41"/>
      <c r="W40" s="41"/>
    </row>
    <row r="41" spans="2:23" x14ac:dyDescent="0.3">
      <c r="D41" s="58"/>
      <c r="F41" s="47"/>
      <c r="M41"/>
      <c r="O41" s="41"/>
      <c r="P41" s="41">
        <f>SUM(P39+P40)</f>
        <v>8.9649599999999996</v>
      </c>
      <c r="Q41" s="41">
        <f>SUM(Q39+Q40)</f>
        <v>8.86496</v>
      </c>
      <c r="R41" s="41"/>
      <c r="S41" s="41"/>
      <c r="T41" s="41"/>
      <c r="U41" s="41"/>
      <c r="V41" s="41"/>
      <c r="W41" s="41"/>
    </row>
    <row r="42" spans="2:23" x14ac:dyDescent="0.3">
      <c r="P42">
        <f>P41*4</f>
        <v>35.859839999999998</v>
      </c>
      <c r="Q42">
        <f>Q41*4</f>
        <v>35.45984</v>
      </c>
    </row>
    <row r="43" spans="2:23" x14ac:dyDescent="0.3">
      <c r="D43" t="s">
        <v>41</v>
      </c>
    </row>
    <row r="44" spans="2:23" x14ac:dyDescent="0.3">
      <c r="D44" t="s">
        <v>42</v>
      </c>
    </row>
    <row r="45" spans="2:23" x14ac:dyDescent="0.3">
      <c r="D45" t="s">
        <v>43</v>
      </c>
    </row>
    <row r="46" spans="2:23" x14ac:dyDescent="0.3">
      <c r="D46" s="24" t="s">
        <v>44</v>
      </c>
      <c r="E46" s="24">
        <v>8.0000000000000002E-3</v>
      </c>
      <c r="F46" s="60"/>
    </row>
    <row r="47" spans="2:23" x14ac:dyDescent="0.3">
      <c r="D47" s="24" t="s">
        <v>45</v>
      </c>
      <c r="E47" s="24">
        <v>8.0000000000000002E-3</v>
      </c>
    </row>
    <row r="48" spans="2:23" x14ac:dyDescent="0.3">
      <c r="D48" s="24" t="s">
        <v>46</v>
      </c>
      <c r="E48" s="24">
        <v>8.0000000000000002E-3</v>
      </c>
    </row>
    <row r="49" spans="4:5" x14ac:dyDescent="0.3">
      <c r="D49" s="24" t="s">
        <v>47</v>
      </c>
      <c r="E49" s="24">
        <v>8.0000000000000002E-3</v>
      </c>
    </row>
    <row r="51" spans="4:5" x14ac:dyDescent="0.3">
      <c r="D51" t="s">
        <v>50</v>
      </c>
    </row>
    <row r="52" spans="4:5" x14ac:dyDescent="0.3">
      <c r="D52" s="24" t="s">
        <v>44</v>
      </c>
      <c r="E52" s="24">
        <v>6.4999999999999997E-3</v>
      </c>
    </row>
    <row r="53" spans="4:5" x14ac:dyDescent="0.3">
      <c r="D53" s="24" t="s">
        <v>45</v>
      </c>
      <c r="E53" s="24">
        <v>7.4999999999999997E-3</v>
      </c>
    </row>
    <row r="54" spans="4:5" x14ac:dyDescent="0.3">
      <c r="D54" s="24" t="s">
        <v>46</v>
      </c>
      <c r="E54" s="24">
        <v>8.0000000000000002E-3</v>
      </c>
    </row>
    <row r="55" spans="4:5" x14ac:dyDescent="0.3">
      <c r="D55" s="24" t="s">
        <v>47</v>
      </c>
      <c r="E55" s="24">
        <v>1.2500000000000001E-2</v>
      </c>
    </row>
  </sheetData>
  <sheetProtection selectLockedCells="1" selectUnlockedCells="1"/>
  <mergeCells count="55">
    <mergeCell ref="H31:M40"/>
    <mergeCell ref="E32:F32"/>
    <mergeCell ref="H26:J26"/>
    <mergeCell ref="H21:J21"/>
    <mergeCell ref="E23:F23"/>
    <mergeCell ref="H23:J23"/>
    <mergeCell ref="D24:D30"/>
    <mergeCell ref="H24:J24"/>
    <mergeCell ref="H25:J25"/>
    <mergeCell ref="H27:J27"/>
    <mergeCell ref="H28:J28"/>
    <mergeCell ref="H30:M30"/>
    <mergeCell ref="E15:F15"/>
    <mergeCell ref="H15:J15"/>
    <mergeCell ref="H16:J16"/>
    <mergeCell ref="D10:D13"/>
    <mergeCell ref="E10:F10"/>
    <mergeCell ref="H10:J10"/>
    <mergeCell ref="D16:D21"/>
    <mergeCell ref="H17:J17"/>
    <mergeCell ref="H18:J18"/>
    <mergeCell ref="H19:J19"/>
    <mergeCell ref="H20:J20"/>
    <mergeCell ref="H9:J9"/>
    <mergeCell ref="Q9:S9"/>
    <mergeCell ref="P10:P17"/>
    <mergeCell ref="U10:X10"/>
    <mergeCell ref="H11:J11"/>
    <mergeCell ref="Q11:Q17"/>
    <mergeCell ref="U11:W11"/>
    <mergeCell ref="H12:J12"/>
    <mergeCell ref="U12:W12"/>
    <mergeCell ref="H13:J13"/>
    <mergeCell ref="R6:S6"/>
    <mergeCell ref="W6:X6"/>
    <mergeCell ref="R7:S7"/>
    <mergeCell ref="W7:X7"/>
    <mergeCell ref="H8:J8"/>
    <mergeCell ref="R8:S8"/>
    <mergeCell ref="D2:M2"/>
    <mergeCell ref="P2:X2"/>
    <mergeCell ref="D4:D8"/>
    <mergeCell ref="E4:F4"/>
    <mergeCell ref="I4:M4"/>
    <mergeCell ref="P4:P8"/>
    <mergeCell ref="Q4:S4"/>
    <mergeCell ref="U4:U7"/>
    <mergeCell ref="V4:X4"/>
    <mergeCell ref="H5:H6"/>
    <mergeCell ref="I5:K5"/>
    <mergeCell ref="L5:M5"/>
    <mergeCell ref="R5:S5"/>
    <mergeCell ref="W5:X5"/>
    <mergeCell ref="I6:K6"/>
    <mergeCell ref="L6:M6"/>
  </mergeCells>
  <phoneticPr fontId="1" type="noConversion"/>
  <conditionalFormatting sqref="K27:K28">
    <cfRule type="cellIs" dxfId="3" priority="1" operator="lessThan">
      <formula>0</formula>
    </cfRule>
  </conditionalFormatting>
  <dataValidations disablePrompts="1" count="5">
    <dataValidation type="list" allowBlank="1" showInputMessage="1" showErrorMessage="1" sqref="R7 B33:B41 B31 W6" xr:uid="{01D40CDC-2AA7-42DE-96A7-223C5D9AB588}">
      <formula1>$B$31:$B$34</formula1>
    </dataValidation>
    <dataValidation type="list" allowBlank="1" showInputMessage="1" showErrorMessage="1" sqref="R8" xr:uid="{45EF5B9C-85B7-4FE2-8292-594F6CB8CF91}">
      <formula1>$B$6:$B$11</formula1>
    </dataValidation>
    <dataValidation type="list" allowBlank="1" showInputMessage="1" showErrorMessage="1" sqref="W7" xr:uid="{D6642E51-6FC7-411E-AD2C-8C6333A6C1DF}">
      <formula1>$B$5:$B$11</formula1>
    </dataValidation>
    <dataValidation type="list" allowBlank="1" showInputMessage="1" showErrorMessage="1" sqref="A12:A19" xr:uid="{6DC8A1E3-3B34-4BDB-8A2A-5BF4BA2F6E79}">
      <formula1>$A$13:$A$19</formula1>
    </dataValidation>
    <dataValidation type="list" allowBlank="1" showInputMessage="1" showErrorMessage="1" sqref="C14:C19" xr:uid="{22E23CC3-B8DB-4021-BC22-4FAD34F2C3F2}">
      <formula1>$B$13:$B$19</formula1>
    </dataValidation>
  </dataValidations>
  <pageMargins left="0.25" right="0.25" top="0.75" bottom="0.75" header="0.3" footer="0.3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FF58-95D1-4E4F-A638-978E282B496F}">
  <sheetPr>
    <pageSetUpPr fitToPage="1"/>
  </sheetPr>
  <dimension ref="A1:Y55"/>
  <sheetViews>
    <sheetView view="pageBreakPreview" topLeftCell="C1" zoomScale="85" zoomScaleNormal="55" zoomScaleSheetLayoutView="85" workbookViewId="0">
      <selection activeCell="X13" sqref="X13"/>
    </sheetView>
  </sheetViews>
  <sheetFormatPr defaultRowHeight="16.5" x14ac:dyDescent="0.3"/>
  <cols>
    <col min="1" max="2" width="9" customWidth="1"/>
    <col min="3" max="3" width="3.625" customWidth="1"/>
    <col min="4" max="4" width="10.5" customWidth="1"/>
    <col min="5" max="6" width="18.625" customWidth="1"/>
    <col min="7" max="7" width="2.75" customWidth="1"/>
    <col min="8" max="8" width="9" customWidth="1"/>
    <col min="9" max="9" width="10.625" customWidth="1"/>
    <col min="10" max="10" width="11.75" customWidth="1"/>
    <col min="11" max="11" width="14.125" customWidth="1"/>
    <col min="12" max="12" width="15.5" bestFit="1" customWidth="1"/>
    <col min="13" max="13" width="56" style="1" customWidth="1"/>
    <col min="14" max="14" width="3.625" customWidth="1"/>
    <col min="15" max="15" width="2.625" customWidth="1"/>
    <col min="16" max="16" width="11.5" bestFit="1" customWidth="1"/>
    <col min="17" max="17" width="9" customWidth="1"/>
  </cols>
  <sheetData>
    <row r="1" spans="1:25" ht="17.25" thickBot="1" x14ac:dyDescent="0.35"/>
    <row r="2" spans="1:25" ht="42" customHeight="1" thickBot="1" x14ac:dyDescent="0.35">
      <c r="D2" s="127" t="s">
        <v>75</v>
      </c>
      <c r="E2" s="127"/>
      <c r="F2" s="127"/>
      <c r="G2" s="127"/>
      <c r="H2" s="127"/>
      <c r="I2" s="127"/>
      <c r="J2" s="127"/>
      <c r="K2" s="127"/>
      <c r="L2" s="127"/>
      <c r="M2" s="128"/>
      <c r="P2" s="129" t="s">
        <v>54</v>
      </c>
      <c r="Q2" s="130"/>
      <c r="R2" s="130"/>
      <c r="S2" s="130"/>
      <c r="T2" s="130"/>
      <c r="U2" s="130"/>
      <c r="V2" s="130"/>
      <c r="W2" s="130"/>
      <c r="X2" s="131"/>
    </row>
    <row r="3" spans="1:25" ht="17.25" thickBot="1" x14ac:dyDescent="0.35">
      <c r="P3" s="87"/>
      <c r="X3" s="86"/>
    </row>
    <row r="4" spans="1:25" ht="17.25" thickBot="1" x14ac:dyDescent="0.35">
      <c r="D4" s="132" t="s">
        <v>1</v>
      </c>
      <c r="E4" s="135" t="str">
        <f>Q4</f>
        <v>AUTOCOM</v>
      </c>
      <c r="F4" s="136"/>
      <c r="H4" s="9" t="s">
        <v>2</v>
      </c>
      <c r="I4" s="137" t="s">
        <v>63</v>
      </c>
      <c r="J4" s="138"/>
      <c r="K4" s="138"/>
      <c r="L4" s="138"/>
      <c r="M4" s="136"/>
      <c r="P4" s="132" t="s">
        <v>1</v>
      </c>
      <c r="Q4" s="139" t="s">
        <v>64</v>
      </c>
      <c r="R4" s="140"/>
      <c r="S4" s="141"/>
      <c r="U4" s="132" t="s">
        <v>15</v>
      </c>
      <c r="V4" s="142" t="s">
        <v>66</v>
      </c>
      <c r="W4" s="140"/>
      <c r="X4" s="141"/>
    </row>
    <row r="5" spans="1:25" ht="17.25" thickBot="1" x14ac:dyDescent="0.35">
      <c r="B5">
        <v>0</v>
      </c>
      <c r="D5" s="133"/>
      <c r="E5" s="26" t="s">
        <v>3</v>
      </c>
      <c r="F5" s="5" t="str">
        <f>R5</f>
        <v>F</v>
      </c>
      <c r="H5" s="143" t="s">
        <v>53</v>
      </c>
      <c r="I5" s="145" t="s">
        <v>4</v>
      </c>
      <c r="J5" s="146"/>
      <c r="K5" s="147"/>
      <c r="L5" s="148">
        <f>X11</f>
        <v>2.1999999999999999E-2</v>
      </c>
      <c r="M5" s="149"/>
      <c r="P5" s="133"/>
      <c r="Q5" s="83" t="s">
        <v>3</v>
      </c>
      <c r="R5" s="150" t="s">
        <v>65</v>
      </c>
      <c r="S5" s="151"/>
      <c r="U5" s="133"/>
      <c r="V5" s="83" t="s">
        <v>5</v>
      </c>
      <c r="W5" s="129" t="s">
        <v>56</v>
      </c>
      <c r="X5" s="131"/>
      <c r="Y5" t="s">
        <v>70</v>
      </c>
    </row>
    <row r="6" spans="1:25" ht="17.25" thickBot="1" x14ac:dyDescent="0.35">
      <c r="B6">
        <v>30</v>
      </c>
      <c r="D6" s="133"/>
      <c r="E6" s="26" t="s">
        <v>5</v>
      </c>
      <c r="F6" s="5" t="str">
        <f>R6</f>
        <v>FOB</v>
      </c>
      <c r="H6" s="144"/>
      <c r="I6" s="152" t="s">
        <v>60</v>
      </c>
      <c r="J6" s="153"/>
      <c r="K6" s="153"/>
      <c r="L6" s="154">
        <f>X12</f>
        <v>0.04</v>
      </c>
      <c r="M6" s="155"/>
      <c r="P6" s="133"/>
      <c r="Q6" s="83" t="s">
        <v>5</v>
      </c>
      <c r="R6" s="129" t="s">
        <v>56</v>
      </c>
      <c r="S6" s="131"/>
      <c r="U6" s="133"/>
      <c r="V6" s="83" t="s">
        <v>6</v>
      </c>
      <c r="W6" s="129" t="s">
        <v>40</v>
      </c>
      <c r="X6" s="131"/>
    </row>
    <row r="7" spans="1:25" ht="17.25" thickBot="1" x14ac:dyDescent="0.35">
      <c r="B7">
        <v>60</v>
      </c>
      <c r="D7" s="133"/>
      <c r="E7" s="26" t="s">
        <v>6</v>
      </c>
      <c r="F7" s="80" t="str">
        <f>R7</f>
        <v>D/A</v>
      </c>
      <c r="I7" s="43"/>
      <c r="P7" s="133"/>
      <c r="Q7" s="83" t="s">
        <v>6</v>
      </c>
      <c r="R7" s="129" t="s">
        <v>49</v>
      </c>
      <c r="S7" s="131"/>
      <c r="U7" s="134"/>
      <c r="V7" s="84" t="s">
        <v>8</v>
      </c>
      <c r="W7" s="156">
        <v>90</v>
      </c>
      <c r="X7" s="157"/>
      <c r="Y7" t="s">
        <v>71</v>
      </c>
    </row>
    <row r="8" spans="1:25" ht="17.25" customHeight="1" thickBot="1" x14ac:dyDescent="0.35">
      <c r="B8">
        <v>90</v>
      </c>
      <c r="D8" s="134"/>
      <c r="E8" s="26" t="s">
        <v>8</v>
      </c>
      <c r="F8" s="82">
        <f>R8</f>
        <v>150</v>
      </c>
      <c r="H8" s="152" t="s">
        <v>9</v>
      </c>
      <c r="I8" s="153"/>
      <c r="J8" s="153"/>
      <c r="K8" s="9" t="s">
        <v>10</v>
      </c>
      <c r="L8" s="40" t="s">
        <v>11</v>
      </c>
      <c r="M8" s="7" t="s">
        <v>12</v>
      </c>
      <c r="O8" s="46"/>
      <c r="P8" s="134"/>
      <c r="Q8" s="84" t="s">
        <v>8</v>
      </c>
      <c r="R8" s="156">
        <v>150</v>
      </c>
      <c r="S8" s="157"/>
      <c r="X8" s="86"/>
    </row>
    <row r="9" spans="1:25" ht="17.25" thickBot="1" x14ac:dyDescent="0.35">
      <c r="B9">
        <v>120</v>
      </c>
      <c r="H9" s="158" t="s">
        <v>14</v>
      </c>
      <c r="I9" s="159"/>
      <c r="J9" s="159"/>
      <c r="K9" s="54">
        <v>1000000</v>
      </c>
      <c r="L9" s="44">
        <f>K9/$K$24</f>
        <v>0.9481795956833251</v>
      </c>
      <c r="M9" s="15" t="s">
        <v>68</v>
      </c>
      <c r="P9" s="91"/>
      <c r="Q9" s="160"/>
      <c r="R9" s="160"/>
      <c r="S9" s="160"/>
      <c r="X9" s="86"/>
    </row>
    <row r="10" spans="1:25" ht="18" thickTop="1" thickBot="1" x14ac:dyDescent="0.35">
      <c r="B10">
        <v>150</v>
      </c>
      <c r="D10" s="132" t="s">
        <v>15</v>
      </c>
      <c r="E10" s="135" t="str">
        <f>V4</f>
        <v>JAC</v>
      </c>
      <c r="F10" s="136"/>
      <c r="H10" s="167" t="s">
        <v>16</v>
      </c>
      <c r="I10" s="168"/>
      <c r="J10" s="168"/>
      <c r="K10" s="50">
        <v>0</v>
      </c>
      <c r="L10" s="20">
        <f t="shared" ref="L10:L19" si="0">K10/$K$24</f>
        <v>0</v>
      </c>
      <c r="M10" s="6" t="s">
        <v>17</v>
      </c>
      <c r="P10" s="161" t="s">
        <v>59</v>
      </c>
      <c r="Q10" s="49" t="s">
        <v>31</v>
      </c>
      <c r="R10" s="78" t="s">
        <v>0</v>
      </c>
      <c r="S10" s="79" t="s">
        <v>52</v>
      </c>
      <c r="U10" s="164" t="s">
        <v>53</v>
      </c>
      <c r="V10" s="165"/>
      <c r="W10" s="165"/>
      <c r="X10" s="166"/>
    </row>
    <row r="11" spans="1:25" ht="17.25" thickBot="1" x14ac:dyDescent="0.35">
      <c r="B11">
        <v>180</v>
      </c>
      <c r="D11" s="133"/>
      <c r="E11" s="26" t="s">
        <v>5</v>
      </c>
      <c r="F11" s="5" t="str">
        <f>W5</f>
        <v>FOB</v>
      </c>
      <c r="H11" s="167" t="s">
        <v>18</v>
      </c>
      <c r="I11" s="168"/>
      <c r="J11" s="168"/>
      <c r="K11" s="50">
        <v>0</v>
      </c>
      <c r="L11" s="20">
        <f t="shared" si="0"/>
        <v>0</v>
      </c>
      <c r="M11" s="6" t="s">
        <v>17</v>
      </c>
      <c r="P11" s="162"/>
      <c r="Q11" s="169">
        <v>46099</v>
      </c>
      <c r="R11" s="10">
        <v>30</v>
      </c>
      <c r="S11" s="92">
        <v>3.6750400000000003E-2</v>
      </c>
      <c r="U11" s="137" t="s">
        <v>4</v>
      </c>
      <c r="V11" s="138"/>
      <c r="W11" s="138"/>
      <c r="X11" s="97">
        <v>2.1999999999999999E-2</v>
      </c>
    </row>
    <row r="12" spans="1:25" ht="17.25" thickBot="1" x14ac:dyDescent="0.35">
      <c r="B12">
        <v>1</v>
      </c>
      <c r="D12" s="133"/>
      <c r="E12" s="26" t="s">
        <v>6</v>
      </c>
      <c r="F12" s="85" t="str">
        <f>W6</f>
        <v>L/C</v>
      </c>
      <c r="G12" s="3"/>
      <c r="H12" s="167" t="s">
        <v>19</v>
      </c>
      <c r="I12" s="168"/>
      <c r="J12" s="168"/>
      <c r="K12" s="50">
        <v>0</v>
      </c>
      <c r="L12" s="20">
        <f t="shared" si="0"/>
        <v>0</v>
      </c>
      <c r="M12" s="6"/>
      <c r="O12" s="41"/>
      <c r="P12" s="162"/>
      <c r="Q12" s="170"/>
      <c r="R12" s="59">
        <v>60</v>
      </c>
      <c r="S12" s="93">
        <v>3.6852599999999999E-2</v>
      </c>
      <c r="U12" s="172" t="s">
        <v>60</v>
      </c>
      <c r="V12" s="173"/>
      <c r="W12" s="173"/>
      <c r="X12" s="98">
        <v>0.04</v>
      </c>
    </row>
    <row r="13" spans="1:25" ht="17.25" thickBot="1" x14ac:dyDescent="0.35">
      <c r="A13" s="28"/>
      <c r="B13">
        <v>2</v>
      </c>
      <c r="D13" s="134"/>
      <c r="E13" s="26" t="s">
        <v>8</v>
      </c>
      <c r="F13" s="81">
        <f>W7</f>
        <v>90</v>
      </c>
      <c r="G13" s="2"/>
      <c r="H13" s="167" t="s">
        <v>20</v>
      </c>
      <c r="I13" s="168"/>
      <c r="J13" s="168"/>
      <c r="K13" s="99">
        <f>K24*F20*0.85</f>
        <v>4392.6277457999995</v>
      </c>
      <c r="L13" s="20">
        <f>K13/$K$24</f>
        <v>4.1649999999999994E-3</v>
      </c>
      <c r="M13" s="8" t="s">
        <v>83</v>
      </c>
      <c r="O13" s="41"/>
      <c r="P13" s="162"/>
      <c r="Q13" s="170"/>
      <c r="R13" s="11">
        <v>90</v>
      </c>
      <c r="S13" s="93">
        <v>3.6852599999999999E-2</v>
      </c>
      <c r="U13" t="s">
        <v>69</v>
      </c>
      <c r="X13" s="86"/>
    </row>
    <row r="14" spans="1:25" ht="17.25" thickBot="1" x14ac:dyDescent="0.35">
      <c r="A14" s="29"/>
      <c r="B14">
        <v>3</v>
      </c>
      <c r="G14" s="2"/>
      <c r="H14" s="18" t="s">
        <v>21</v>
      </c>
      <c r="I14" s="19"/>
      <c r="J14" s="19"/>
      <c r="K14" s="50">
        <f>IF(F12="L/C",K9*0.3%*F13/360,0)</f>
        <v>750</v>
      </c>
      <c r="L14" s="20">
        <f>K14/$K$24</f>
        <v>7.1113469676249382E-4</v>
      </c>
      <c r="M14" s="77" t="s">
        <v>51</v>
      </c>
      <c r="O14" s="41"/>
      <c r="P14" s="162"/>
      <c r="Q14" s="170"/>
      <c r="R14" s="11">
        <v>120</v>
      </c>
      <c r="S14" s="94">
        <v>3.6679099999999999E-2</v>
      </c>
      <c r="X14" s="86"/>
    </row>
    <row r="15" spans="1:25" ht="16.5" customHeight="1" thickBot="1" x14ac:dyDescent="0.35">
      <c r="A15" s="30"/>
      <c r="B15">
        <v>4</v>
      </c>
      <c r="D15" s="49" t="s">
        <v>73</v>
      </c>
      <c r="E15" s="174" t="s">
        <v>67</v>
      </c>
      <c r="F15" s="175"/>
      <c r="G15" s="2"/>
      <c r="H15" s="167" t="s">
        <v>22</v>
      </c>
      <c r="I15" s="168"/>
      <c r="J15" s="176"/>
      <c r="K15" s="50">
        <v>0</v>
      </c>
      <c r="L15" s="20">
        <f t="shared" si="0"/>
        <v>0</v>
      </c>
      <c r="M15" s="8"/>
      <c r="O15" s="41"/>
      <c r="P15" s="162"/>
      <c r="Q15" s="170"/>
      <c r="R15" s="11">
        <v>150</v>
      </c>
      <c r="S15" s="94">
        <v>3.6679099999999999E-2</v>
      </c>
      <c r="X15" s="86"/>
    </row>
    <row r="16" spans="1:25" x14ac:dyDescent="0.3">
      <c r="A16" s="31"/>
      <c r="B16">
        <v>5</v>
      </c>
      <c r="D16" s="177" t="s">
        <v>84</v>
      </c>
      <c r="E16" s="10">
        <v>30</v>
      </c>
      <c r="F16" s="27">
        <v>2.3E-3</v>
      </c>
      <c r="G16" s="2"/>
      <c r="H16" s="167" t="s">
        <v>23</v>
      </c>
      <c r="I16" s="168"/>
      <c r="J16" s="176"/>
      <c r="K16" s="50">
        <f>K24*0.02%</f>
        <v>210.93050400000001</v>
      </c>
      <c r="L16" s="20">
        <f t="shared" si="0"/>
        <v>2.0000000000000001E-4</v>
      </c>
      <c r="M16" s="6" t="s">
        <v>57</v>
      </c>
      <c r="O16" s="41"/>
      <c r="P16" s="162"/>
      <c r="Q16" s="170"/>
      <c r="R16" s="11">
        <v>180</v>
      </c>
      <c r="S16" s="94">
        <v>3.6679099999999999E-2</v>
      </c>
      <c r="X16" s="86"/>
    </row>
    <row r="17" spans="1:24" ht="17.25" thickBot="1" x14ac:dyDescent="0.35">
      <c r="A17" s="32"/>
      <c r="B17">
        <v>6</v>
      </c>
      <c r="D17" s="177"/>
      <c r="E17" s="11">
        <v>60</v>
      </c>
      <c r="F17" s="45">
        <v>2.8E-3</v>
      </c>
      <c r="G17" s="2"/>
      <c r="H17" s="179" t="s">
        <v>24</v>
      </c>
      <c r="I17" s="180"/>
      <c r="J17" s="181"/>
      <c r="K17" s="50">
        <v>0</v>
      </c>
      <c r="L17" s="20">
        <f t="shared" si="0"/>
        <v>0</v>
      </c>
      <c r="M17" s="6" t="s">
        <v>25</v>
      </c>
      <c r="O17" s="41"/>
      <c r="P17" s="163"/>
      <c r="Q17" s="171"/>
      <c r="R17" s="12">
        <v>360</v>
      </c>
      <c r="S17" s="95">
        <v>3.6130700000000002E-2</v>
      </c>
      <c r="X17" s="86"/>
    </row>
    <row r="18" spans="1:24" ht="17.25" thickBot="1" x14ac:dyDescent="0.35">
      <c r="A18" s="33"/>
      <c r="B18">
        <v>7</v>
      </c>
      <c r="D18" s="177"/>
      <c r="E18" s="11">
        <v>90</v>
      </c>
      <c r="F18" s="100">
        <v>3.3E-3</v>
      </c>
      <c r="G18" s="2"/>
      <c r="H18" s="182" t="s">
        <v>26</v>
      </c>
      <c r="I18" s="183"/>
      <c r="J18" s="184"/>
      <c r="K18" s="51">
        <f>SUM(K10:K17)</f>
        <v>5353.5582497999994</v>
      </c>
      <c r="L18" s="21">
        <f t="shared" si="0"/>
        <v>5.0761346967624936E-3</v>
      </c>
      <c r="M18" s="17"/>
      <c r="O18" s="41"/>
      <c r="P18" s="87" t="s">
        <v>55</v>
      </c>
      <c r="X18" s="86"/>
    </row>
    <row r="19" spans="1:24" ht="17.25" customHeight="1" thickTop="1" thickBot="1" x14ac:dyDescent="0.35">
      <c r="A19" s="34"/>
      <c r="D19" s="177"/>
      <c r="E19" s="11">
        <v>120</v>
      </c>
      <c r="F19" s="105">
        <v>4.1000000000000003E-3</v>
      </c>
      <c r="G19" s="2"/>
      <c r="H19" s="185" t="s">
        <v>27</v>
      </c>
      <c r="I19" s="186"/>
      <c r="J19" s="187"/>
      <c r="K19" s="52">
        <f>K24*VLOOKUP(F8,D34:F40,3,FALSE)*F8/360</f>
        <v>19633.718919305</v>
      </c>
      <c r="L19" s="20">
        <f t="shared" si="0"/>
        <v>1.8616291666666666E-2</v>
      </c>
      <c r="M19" s="8" t="s">
        <v>28</v>
      </c>
      <c r="O19" s="41"/>
      <c r="P19" s="88"/>
      <c r="Q19" s="89"/>
      <c r="R19" s="89"/>
      <c r="S19" s="89"/>
      <c r="T19" s="89"/>
      <c r="U19" s="89"/>
      <c r="V19" s="89"/>
      <c r="W19" s="89"/>
      <c r="X19" s="90"/>
    </row>
    <row r="20" spans="1:24" ht="17.25" thickBot="1" x14ac:dyDescent="0.35">
      <c r="B20" t="str">
        <f t="shared" ref="B20:B25" si="1">MID("ABCDEFGHIJKLMNOPQRSTUVWXYZ",B12,1)</f>
        <v>A</v>
      </c>
      <c r="D20" s="177"/>
      <c r="E20" s="11">
        <v>150</v>
      </c>
      <c r="F20" s="103">
        <v>4.8999999999999998E-3</v>
      </c>
      <c r="G20" s="2"/>
      <c r="H20" s="182" t="s">
        <v>29</v>
      </c>
      <c r="I20" s="183"/>
      <c r="J20" s="184"/>
      <c r="K20" s="53">
        <f>K19</f>
        <v>19633.718919305</v>
      </c>
      <c r="L20" s="22">
        <f>L19</f>
        <v>1.8616291666666666E-2</v>
      </c>
      <c r="M20" s="17" t="s">
        <v>17</v>
      </c>
      <c r="O20" s="41"/>
    </row>
    <row r="21" spans="1:24" ht="17.25" customHeight="1" thickTop="1" thickBot="1" x14ac:dyDescent="0.35">
      <c r="A21" s="35"/>
      <c r="B21" t="str">
        <f t="shared" si="1"/>
        <v>B</v>
      </c>
      <c r="D21" s="178"/>
      <c r="E21" s="12">
        <v>180</v>
      </c>
      <c r="F21" s="100">
        <v>5.7000000000000002E-3</v>
      </c>
      <c r="G21" s="2"/>
      <c r="H21" s="188" t="s">
        <v>30</v>
      </c>
      <c r="I21" s="189"/>
      <c r="J21" s="189"/>
      <c r="K21" s="55">
        <f>SUM(K18+K20)</f>
        <v>24987.277169105</v>
      </c>
      <c r="L21" s="23">
        <f>K21/K24</f>
        <v>2.3692426363429161E-2</v>
      </c>
      <c r="M21" s="16"/>
      <c r="O21" s="41"/>
    </row>
    <row r="22" spans="1:24" ht="17.25" thickBot="1" x14ac:dyDescent="0.35">
      <c r="B22" t="str">
        <f t="shared" si="1"/>
        <v>C</v>
      </c>
      <c r="F22" s="101" t="s">
        <v>74</v>
      </c>
      <c r="G22" s="2"/>
      <c r="O22" s="41"/>
      <c r="P22" s="104"/>
      <c r="Q22" s="41"/>
      <c r="R22" s="41"/>
      <c r="S22" s="41"/>
      <c r="T22" s="41"/>
      <c r="U22" s="41"/>
      <c r="V22" s="41"/>
      <c r="W22" s="41"/>
    </row>
    <row r="23" spans="1:24" ht="17.25" thickBot="1" x14ac:dyDescent="0.35">
      <c r="B23" t="str">
        <f t="shared" si="1"/>
        <v>D</v>
      </c>
      <c r="D23" s="49" t="s">
        <v>31</v>
      </c>
      <c r="E23" s="174" t="s">
        <v>59</v>
      </c>
      <c r="F23" s="175"/>
      <c r="G23" s="2"/>
      <c r="H23" s="152" t="s">
        <v>9</v>
      </c>
      <c r="I23" s="153"/>
      <c r="J23" s="153"/>
      <c r="K23" s="9" t="s">
        <v>10</v>
      </c>
      <c r="L23" s="36" t="s">
        <v>32</v>
      </c>
      <c r="M23" s="7" t="s">
        <v>12</v>
      </c>
      <c r="O23" s="41"/>
      <c r="P23" s="41"/>
      <c r="Q23" s="41"/>
      <c r="R23" s="41"/>
      <c r="S23" s="41"/>
      <c r="T23" s="41"/>
      <c r="U23" s="41"/>
      <c r="V23" s="41"/>
      <c r="W23" s="41"/>
    </row>
    <row r="24" spans="1:24" x14ac:dyDescent="0.3">
      <c r="B24" t="str">
        <f t="shared" si="1"/>
        <v>E</v>
      </c>
      <c r="D24" s="196">
        <f>Q11</f>
        <v>46099</v>
      </c>
      <c r="E24" s="10">
        <v>30</v>
      </c>
      <c r="F24" s="27">
        <f t="shared" ref="F24:F25" si="2">S11</f>
        <v>3.6750400000000003E-2</v>
      </c>
      <c r="G24" s="2"/>
      <c r="H24" s="199" t="s">
        <v>33</v>
      </c>
      <c r="I24" s="200"/>
      <c r="J24" s="200"/>
      <c r="K24" s="68">
        <f>K9+K25+K26</f>
        <v>1054652.52</v>
      </c>
      <c r="L24" s="37">
        <f>K24/$K$24</f>
        <v>1</v>
      </c>
      <c r="M24" s="4" t="s">
        <v>34</v>
      </c>
      <c r="O24" s="41"/>
      <c r="P24" s="41"/>
      <c r="Q24" s="41"/>
      <c r="R24" s="41"/>
      <c r="S24" s="41"/>
      <c r="T24" s="41"/>
      <c r="U24" s="41"/>
      <c r="V24" s="41"/>
      <c r="W24" s="41"/>
    </row>
    <row r="25" spans="1:24" ht="17.25" customHeight="1" x14ac:dyDescent="0.3">
      <c r="B25" t="str">
        <f t="shared" si="1"/>
        <v>F</v>
      </c>
      <c r="D25" s="197"/>
      <c r="E25" s="59">
        <v>60</v>
      </c>
      <c r="F25" s="45">
        <f t="shared" si="2"/>
        <v>3.6852599999999999E-2</v>
      </c>
      <c r="G25" s="2"/>
      <c r="H25" s="201" t="s">
        <v>61</v>
      </c>
      <c r="I25" s="202"/>
      <c r="J25" s="202"/>
      <c r="K25" s="69">
        <f>K9*L5</f>
        <v>22000</v>
      </c>
      <c r="L25" s="38">
        <f>K25/$K$24</f>
        <v>2.0859951105033154E-2</v>
      </c>
      <c r="M25" s="8"/>
      <c r="O25" s="41"/>
      <c r="P25" s="41"/>
      <c r="Q25" s="41"/>
      <c r="R25" s="41"/>
      <c r="S25" s="41"/>
      <c r="T25" s="41"/>
      <c r="U25" s="41"/>
      <c r="V25" s="41"/>
      <c r="W25" s="41"/>
    </row>
    <row r="26" spans="1:24" ht="17.25" customHeight="1" x14ac:dyDescent="0.3">
      <c r="D26" s="197"/>
      <c r="E26" s="11">
        <v>90</v>
      </c>
      <c r="F26" s="45">
        <f>S13</f>
        <v>3.6852599999999999E-2</v>
      </c>
      <c r="G26" s="2"/>
      <c r="H26" s="201" t="s">
        <v>62</v>
      </c>
      <c r="I26" s="202"/>
      <c r="J26" s="203"/>
      <c r="K26" s="69">
        <f>ROUND((K9+K25)*(S14+L6)*F8/360,2)</f>
        <v>32652.52</v>
      </c>
      <c r="L26" s="38">
        <f>K26/$K$24</f>
        <v>3.0960453211641689E-2</v>
      </c>
      <c r="M26" s="8"/>
      <c r="O26" s="41"/>
      <c r="P26" s="41"/>
      <c r="Q26" s="41"/>
      <c r="R26" s="41"/>
      <c r="S26" s="41"/>
      <c r="T26" s="41"/>
      <c r="U26" s="41"/>
      <c r="V26" s="41"/>
      <c r="W26" s="41"/>
    </row>
    <row r="27" spans="1:24" x14ac:dyDescent="0.3">
      <c r="B27" t="str">
        <f>MID("ABCDEFGHIJKLMNOPQRSTUVWXYZ",B18,1)</f>
        <v>G</v>
      </c>
      <c r="D27" s="197"/>
      <c r="E27" s="11">
        <v>120</v>
      </c>
      <c r="F27" s="106">
        <f>S14</f>
        <v>3.6679099999999999E-2</v>
      </c>
      <c r="G27" s="2"/>
      <c r="H27" s="201" t="s">
        <v>35</v>
      </c>
      <c r="I27" s="202"/>
      <c r="J27" s="202"/>
      <c r="K27" s="69">
        <f>K25+K26-K18</f>
        <v>49298.961750200004</v>
      </c>
      <c r="L27" s="38">
        <f>K27/$K$24</f>
        <v>4.6744269619912349E-2</v>
      </c>
      <c r="M27" s="8" t="s">
        <v>36</v>
      </c>
      <c r="O27" s="41"/>
      <c r="P27" s="41"/>
      <c r="Q27" s="41"/>
      <c r="R27" s="41"/>
      <c r="S27" s="41"/>
      <c r="T27" s="41"/>
      <c r="U27" s="41"/>
      <c r="V27" s="41"/>
      <c r="W27" s="41"/>
    </row>
    <row r="28" spans="1:24" ht="17.25" thickBot="1" x14ac:dyDescent="0.35">
      <c r="D28" s="197"/>
      <c r="E28" s="11">
        <v>150</v>
      </c>
      <c r="F28" s="103">
        <f>S15</f>
        <v>3.6679099999999999E-2</v>
      </c>
      <c r="G28" s="2"/>
      <c r="H28" s="204" t="s">
        <v>37</v>
      </c>
      <c r="I28" s="205"/>
      <c r="J28" s="205"/>
      <c r="K28" s="70">
        <f>K25+K26-K21</f>
        <v>29665.242830895004</v>
      </c>
      <c r="L28" s="39">
        <f>K28/$K$24</f>
        <v>2.8127977953245686E-2</v>
      </c>
      <c r="M28" s="14" t="s">
        <v>72</v>
      </c>
      <c r="O28" s="41"/>
      <c r="P28" s="41"/>
      <c r="Q28" s="41"/>
      <c r="R28" s="41"/>
      <c r="S28" s="41"/>
      <c r="T28" s="41"/>
      <c r="U28" s="41"/>
      <c r="V28" s="41"/>
      <c r="W28" s="41"/>
    </row>
    <row r="29" spans="1:24" ht="17.25" thickBot="1" x14ac:dyDescent="0.35">
      <c r="B29" s="1" cm="1">
        <f t="array" aca="1" ref="B29" ca="1">COLUMN(INDIRECT(D16&amp;1))</f>
        <v>2</v>
      </c>
      <c r="D29" s="197"/>
      <c r="E29" s="11">
        <v>180</v>
      </c>
      <c r="F29" s="45">
        <f>S16</f>
        <v>3.6679099999999999E-2</v>
      </c>
      <c r="K29" s="42"/>
      <c r="O29" s="41"/>
      <c r="P29" s="76" t="s">
        <v>13</v>
      </c>
      <c r="Q29" s="41"/>
      <c r="R29" s="41"/>
      <c r="S29" s="41"/>
      <c r="T29" s="41"/>
      <c r="U29" s="41"/>
      <c r="V29" s="41"/>
      <c r="W29" s="41"/>
    </row>
    <row r="30" spans="1:24" ht="17.25" thickBot="1" x14ac:dyDescent="0.35">
      <c r="D30" s="198"/>
      <c r="E30" s="12">
        <v>360</v>
      </c>
      <c r="F30" s="96">
        <f>S17</f>
        <v>3.6130700000000002E-2</v>
      </c>
      <c r="H30" s="152" t="s">
        <v>12</v>
      </c>
      <c r="I30" s="153"/>
      <c r="J30" s="153"/>
      <c r="K30" s="153"/>
      <c r="L30" s="153"/>
      <c r="M30" s="206"/>
      <c r="O30" s="41"/>
      <c r="P30" s="71"/>
      <c r="Q30" s="72">
        <v>1</v>
      </c>
      <c r="R30" s="72">
        <v>2</v>
      </c>
      <c r="S30" s="72">
        <v>3</v>
      </c>
      <c r="T30" s="72">
        <v>4</v>
      </c>
      <c r="U30" s="72">
        <v>5</v>
      </c>
      <c r="V30" s="72">
        <v>6</v>
      </c>
      <c r="W30" s="72">
        <v>7</v>
      </c>
    </row>
    <row r="31" spans="1:24" ht="17.25" customHeight="1" thickBot="1" x14ac:dyDescent="0.35">
      <c r="B31" t="s">
        <v>7</v>
      </c>
      <c r="D31" s="58"/>
      <c r="E31" s="47"/>
      <c r="F31" s="47"/>
      <c r="H31" s="190"/>
      <c r="I31" s="191"/>
      <c r="J31" s="191"/>
      <c r="K31" s="191"/>
      <c r="L31" s="191"/>
      <c r="M31" s="192"/>
      <c r="O31" s="41"/>
      <c r="P31" s="73">
        <v>30</v>
      </c>
      <c r="Q31" s="74">
        <v>1.9832463333333329E-3</v>
      </c>
      <c r="R31" s="74">
        <v>2.9267343333333326E-3</v>
      </c>
      <c r="S31" s="74">
        <v>3.5073423333333324E-3</v>
      </c>
      <c r="T31" s="74">
        <v>4.0879503333333331E-3</v>
      </c>
      <c r="U31" s="74">
        <v>4.6685583333333329E-3</v>
      </c>
      <c r="V31" s="74">
        <v>5.2491663333333327E-3</v>
      </c>
      <c r="W31" s="74">
        <v>6.7006863333333331E-3</v>
      </c>
    </row>
    <row r="32" spans="1:24" ht="17.25" thickBot="1" x14ac:dyDescent="0.35">
      <c r="B32" t="s">
        <v>48</v>
      </c>
      <c r="D32" s="49" t="s">
        <v>31</v>
      </c>
      <c r="E32" s="194" t="s">
        <v>58</v>
      </c>
      <c r="F32" s="195"/>
      <c r="H32" s="190"/>
      <c r="I32" s="191"/>
      <c r="J32" s="191"/>
      <c r="K32" s="191"/>
      <c r="L32" s="191"/>
      <c r="M32" s="192"/>
      <c r="O32" s="41"/>
      <c r="P32" s="73">
        <v>60</v>
      </c>
      <c r="Q32" s="74">
        <v>3.3740660000000002E-3</v>
      </c>
      <c r="R32" s="74">
        <v>4.5352819999999999E-3</v>
      </c>
      <c r="S32" s="74">
        <v>5.2610419999999996E-3</v>
      </c>
      <c r="T32" s="74">
        <v>5.9868019999999994E-3</v>
      </c>
      <c r="U32" s="74">
        <v>6.6399859999999996E-3</v>
      </c>
      <c r="V32" s="74">
        <v>7.3657459999999994E-3</v>
      </c>
      <c r="W32" s="75">
        <v>9.1801459999999984E-3</v>
      </c>
    </row>
    <row r="33" spans="2:23" ht="17.25" customHeight="1" thickBot="1" x14ac:dyDescent="0.35">
      <c r="B33" t="s">
        <v>38</v>
      </c>
      <c r="D33" s="61">
        <v>46099</v>
      </c>
      <c r="E33" s="66" t="s">
        <v>40</v>
      </c>
      <c r="F33" s="48" t="s">
        <v>7</v>
      </c>
      <c r="H33" s="190"/>
      <c r="I33" s="191"/>
      <c r="J33" s="191"/>
      <c r="K33" s="191"/>
      <c r="L33" s="191"/>
      <c r="M33" s="192"/>
      <c r="O33" s="41"/>
      <c r="P33" s="73">
        <v>90</v>
      </c>
      <c r="Q33" s="74">
        <v>4.5982189999999997E-3</v>
      </c>
      <c r="R33" s="74">
        <v>5.9771629999999997E-3</v>
      </c>
      <c r="S33" s="74">
        <v>6.8480749999999995E-3</v>
      </c>
      <c r="T33" s="74">
        <v>7.6464109999999997E-3</v>
      </c>
      <c r="U33" s="74">
        <v>8.5173230000000003E-3</v>
      </c>
      <c r="V33" s="74">
        <v>9.3156589999999987E-3</v>
      </c>
      <c r="W33" s="74">
        <v>1.1492939000000001E-2</v>
      </c>
    </row>
    <row r="34" spans="2:23" ht="17.25" thickBot="1" x14ac:dyDescent="0.35">
      <c r="B34" t="s">
        <v>39</v>
      </c>
      <c r="D34" s="62">
        <v>30</v>
      </c>
      <c r="E34" s="67">
        <f>$F$24+E52</f>
        <v>4.3250400000000001E-2</v>
      </c>
      <c r="F34" s="45">
        <f>$F$24+E46</f>
        <v>4.4750400000000003E-2</v>
      </c>
      <c r="H34" s="190"/>
      <c r="I34" s="191"/>
      <c r="J34" s="191"/>
      <c r="K34" s="191"/>
      <c r="L34" s="191"/>
      <c r="M34" s="192"/>
      <c r="O34" s="41"/>
      <c r="P34" s="73">
        <v>120</v>
      </c>
      <c r="Q34" s="74">
        <v>6.7565906666666661E-3</v>
      </c>
      <c r="R34" s="74">
        <v>8.4258386666666678E-3</v>
      </c>
      <c r="S34" s="74">
        <v>9.5144786666666661E-3</v>
      </c>
      <c r="T34" s="74">
        <v>1.0530542666666667E-2</v>
      </c>
      <c r="U34" s="74">
        <v>1.1546606666666666E-2</v>
      </c>
      <c r="V34" s="74">
        <v>1.256267066666667E-2</v>
      </c>
      <c r="W34" s="74">
        <v>1.5247982666666668E-2</v>
      </c>
    </row>
    <row r="35" spans="2:23" ht="17.25" thickBot="1" x14ac:dyDescent="0.35">
      <c r="D35" s="63">
        <v>60</v>
      </c>
      <c r="E35" s="56">
        <f>$F$25+E53</f>
        <v>4.4352599999999999E-2</v>
      </c>
      <c r="F35" s="45">
        <f>$F$25+E47</f>
        <v>4.4852599999999999E-2</v>
      </c>
      <c r="H35" s="190"/>
      <c r="I35" s="191"/>
      <c r="J35" s="191"/>
      <c r="K35" s="191"/>
      <c r="L35" s="191"/>
      <c r="M35" s="192"/>
      <c r="O35" s="41"/>
      <c r="P35" s="73">
        <v>180</v>
      </c>
      <c r="Q35" s="74">
        <v>9.8171579999999977E-3</v>
      </c>
      <c r="R35" s="74">
        <v>1.213959E-2</v>
      </c>
      <c r="S35" s="74">
        <v>1.3591109999999998E-2</v>
      </c>
      <c r="T35" s="74">
        <v>1.4970054000000002E-2</v>
      </c>
      <c r="U35" s="74">
        <v>1.6421573999999998E-2</v>
      </c>
      <c r="V35" s="74">
        <v>1.7800517999999998E-2</v>
      </c>
      <c r="W35" s="75">
        <v>2.1574470000000002E-2</v>
      </c>
    </row>
    <row r="36" spans="2:23" x14ac:dyDescent="0.3">
      <c r="D36" s="64">
        <v>90</v>
      </c>
      <c r="E36" s="56">
        <f>$F$26+E53</f>
        <v>4.4352599999999999E-2</v>
      </c>
      <c r="F36" s="25">
        <f>$F$26+E47</f>
        <v>4.4852599999999999E-2</v>
      </c>
      <c r="H36" s="190"/>
      <c r="I36" s="191"/>
      <c r="J36" s="191"/>
      <c r="K36" s="191"/>
      <c r="L36" s="191"/>
      <c r="M36" s="192"/>
      <c r="O36" s="41"/>
      <c r="P36" s="41"/>
      <c r="Q36" s="41"/>
      <c r="R36" s="41"/>
      <c r="S36" s="41"/>
      <c r="T36" s="41"/>
      <c r="U36" s="41"/>
      <c r="V36" s="41"/>
      <c r="W36" s="41"/>
    </row>
    <row r="37" spans="2:23" x14ac:dyDescent="0.3">
      <c r="D37" s="64">
        <v>120</v>
      </c>
      <c r="E37" s="56">
        <f>$F$27+E54</f>
        <v>4.4679099999999999E-2</v>
      </c>
      <c r="F37" s="105">
        <f>$F$27+E48</f>
        <v>4.4679099999999999E-2</v>
      </c>
      <c r="H37" s="190"/>
      <c r="I37" s="191"/>
      <c r="J37" s="191"/>
      <c r="K37" s="191"/>
      <c r="L37" s="191"/>
      <c r="M37" s="192"/>
      <c r="O37" s="41"/>
      <c r="P37" s="41"/>
      <c r="Q37" s="41"/>
      <c r="R37" s="41"/>
      <c r="S37" s="41"/>
      <c r="T37" s="41"/>
      <c r="U37" s="41"/>
      <c r="V37" s="41"/>
      <c r="W37" s="41"/>
    </row>
    <row r="38" spans="2:23" x14ac:dyDescent="0.3">
      <c r="D38" s="64">
        <v>150</v>
      </c>
      <c r="E38" s="56">
        <f>$F$28+E54</f>
        <v>4.4679099999999999E-2</v>
      </c>
      <c r="F38" s="102">
        <f>$F$28+E48</f>
        <v>4.4679099999999999E-2</v>
      </c>
      <c r="H38" s="190"/>
      <c r="I38" s="191"/>
      <c r="J38" s="191"/>
      <c r="K38" s="191"/>
      <c r="L38" s="191"/>
      <c r="M38" s="192"/>
      <c r="O38" s="41"/>
      <c r="P38" s="41"/>
      <c r="Q38" s="41"/>
      <c r="R38" s="41"/>
      <c r="S38" s="41"/>
      <c r="T38" s="41"/>
      <c r="U38" s="41"/>
      <c r="V38" s="41"/>
      <c r="W38" s="41"/>
    </row>
    <row r="39" spans="2:23" x14ac:dyDescent="0.3">
      <c r="D39" s="64">
        <v>180</v>
      </c>
      <c r="E39" s="56">
        <f>$F$29+E54</f>
        <v>4.4679099999999999E-2</v>
      </c>
      <c r="F39" s="25">
        <f>$F$29+E48</f>
        <v>4.4679099999999999E-2</v>
      </c>
      <c r="H39" s="190"/>
      <c r="I39" s="191"/>
      <c r="J39" s="191"/>
      <c r="K39" s="191"/>
      <c r="L39" s="191"/>
      <c r="M39" s="192"/>
      <c r="O39" s="41"/>
      <c r="P39" s="41">
        <v>1.85</v>
      </c>
      <c r="Q39" s="41">
        <v>1.75</v>
      </c>
      <c r="R39" s="41"/>
      <c r="S39" s="41"/>
      <c r="T39" s="41"/>
      <c r="U39" s="41"/>
      <c r="V39" s="41"/>
      <c r="W39" s="41"/>
    </row>
    <row r="40" spans="2:23" ht="17.25" thickBot="1" x14ac:dyDescent="0.35">
      <c r="D40" s="65">
        <v>360</v>
      </c>
      <c r="E40" s="57">
        <f>$F$30+E55</f>
        <v>4.8630699999999999E-2</v>
      </c>
      <c r="F40" s="13">
        <f>$F$30+E49</f>
        <v>4.4130700000000002E-2</v>
      </c>
      <c r="H40" s="172"/>
      <c r="I40" s="173"/>
      <c r="J40" s="173"/>
      <c r="K40" s="173"/>
      <c r="L40" s="173"/>
      <c r="M40" s="193"/>
      <c r="O40" s="41"/>
      <c r="P40" s="41">
        <f>4.21496+2.9</f>
        <v>7.11496</v>
      </c>
      <c r="Q40" s="41">
        <f>4.21496+2.9</f>
        <v>7.11496</v>
      </c>
      <c r="R40" s="41"/>
      <c r="S40" s="41"/>
      <c r="T40" s="41"/>
      <c r="U40" s="41"/>
      <c r="V40" s="41"/>
      <c r="W40" s="41"/>
    </row>
    <row r="41" spans="2:23" x14ac:dyDescent="0.3">
      <c r="D41" s="58"/>
      <c r="F41" s="47"/>
      <c r="M41"/>
      <c r="O41" s="41"/>
      <c r="P41" s="41">
        <f>SUM(P39+P40)</f>
        <v>8.9649599999999996</v>
      </c>
      <c r="Q41" s="41">
        <f>SUM(Q39+Q40)</f>
        <v>8.86496</v>
      </c>
      <c r="R41" s="41"/>
      <c r="S41" s="41"/>
      <c r="T41" s="41"/>
      <c r="U41" s="41"/>
      <c r="V41" s="41"/>
      <c r="W41" s="41"/>
    </row>
    <row r="42" spans="2:23" x14ac:dyDescent="0.3">
      <c r="P42">
        <f>P41*4</f>
        <v>35.859839999999998</v>
      </c>
      <c r="Q42">
        <f>Q41*4</f>
        <v>35.45984</v>
      </c>
    </row>
    <row r="43" spans="2:23" x14ac:dyDescent="0.3">
      <c r="D43" t="s">
        <v>41</v>
      </c>
    </row>
    <row r="44" spans="2:23" x14ac:dyDescent="0.3">
      <c r="D44" t="s">
        <v>42</v>
      </c>
    </row>
    <row r="45" spans="2:23" x14ac:dyDescent="0.3">
      <c r="D45" t="s">
        <v>43</v>
      </c>
    </row>
    <row r="46" spans="2:23" x14ac:dyDescent="0.3">
      <c r="D46" s="24" t="s">
        <v>44</v>
      </c>
      <c r="E46" s="24">
        <v>8.0000000000000002E-3</v>
      </c>
      <c r="F46" s="60"/>
    </row>
    <row r="47" spans="2:23" x14ac:dyDescent="0.3">
      <c r="D47" s="24" t="s">
        <v>45</v>
      </c>
      <c r="E47" s="24">
        <v>8.0000000000000002E-3</v>
      </c>
    </row>
    <row r="48" spans="2:23" x14ac:dyDescent="0.3">
      <c r="D48" s="24" t="s">
        <v>46</v>
      </c>
      <c r="E48" s="24">
        <v>8.0000000000000002E-3</v>
      </c>
    </row>
    <row r="49" spans="4:5" x14ac:dyDescent="0.3">
      <c r="D49" s="24" t="s">
        <v>47</v>
      </c>
      <c r="E49" s="24">
        <v>8.0000000000000002E-3</v>
      </c>
    </row>
    <row r="51" spans="4:5" x14ac:dyDescent="0.3">
      <c r="D51" t="s">
        <v>50</v>
      </c>
    </row>
    <row r="52" spans="4:5" x14ac:dyDescent="0.3">
      <c r="D52" s="24" t="s">
        <v>44</v>
      </c>
      <c r="E52" s="24">
        <v>6.4999999999999997E-3</v>
      </c>
    </row>
    <row r="53" spans="4:5" x14ac:dyDescent="0.3">
      <c r="D53" s="24" t="s">
        <v>45</v>
      </c>
      <c r="E53" s="24">
        <v>7.4999999999999997E-3</v>
      </c>
    </row>
    <row r="54" spans="4:5" x14ac:dyDescent="0.3">
      <c r="D54" s="24" t="s">
        <v>46</v>
      </c>
      <c r="E54" s="24">
        <v>8.0000000000000002E-3</v>
      </c>
    </row>
    <row r="55" spans="4:5" x14ac:dyDescent="0.3">
      <c r="D55" s="24" t="s">
        <v>47</v>
      </c>
      <c r="E55" s="24">
        <v>1.2500000000000001E-2</v>
      </c>
    </row>
  </sheetData>
  <sheetProtection selectLockedCells="1" selectUnlockedCells="1"/>
  <mergeCells count="55">
    <mergeCell ref="D10:D13"/>
    <mergeCell ref="E10:F10"/>
    <mergeCell ref="H10:J10"/>
    <mergeCell ref="H31:M40"/>
    <mergeCell ref="E32:F32"/>
    <mergeCell ref="E23:F23"/>
    <mergeCell ref="H23:J23"/>
    <mergeCell ref="D24:D30"/>
    <mergeCell ref="H24:J24"/>
    <mergeCell ref="H25:J25"/>
    <mergeCell ref="H26:J26"/>
    <mergeCell ref="H27:J27"/>
    <mergeCell ref="H28:J28"/>
    <mergeCell ref="H30:M30"/>
    <mergeCell ref="E15:F15"/>
    <mergeCell ref="H15:J15"/>
    <mergeCell ref="D16:D21"/>
    <mergeCell ref="H16:J16"/>
    <mergeCell ref="H17:J17"/>
    <mergeCell ref="H18:J18"/>
    <mergeCell ref="H19:J19"/>
    <mergeCell ref="H20:J20"/>
    <mergeCell ref="H21:J21"/>
    <mergeCell ref="H9:J9"/>
    <mergeCell ref="Q9:S9"/>
    <mergeCell ref="P10:P17"/>
    <mergeCell ref="U10:X10"/>
    <mergeCell ref="H11:J11"/>
    <mergeCell ref="Q11:Q17"/>
    <mergeCell ref="U11:W11"/>
    <mergeCell ref="H12:J12"/>
    <mergeCell ref="U12:W12"/>
    <mergeCell ref="H13:J13"/>
    <mergeCell ref="R6:S6"/>
    <mergeCell ref="W6:X6"/>
    <mergeCell ref="R7:S7"/>
    <mergeCell ref="W7:X7"/>
    <mergeCell ref="H8:J8"/>
    <mergeCell ref="R8:S8"/>
    <mergeCell ref="D2:M2"/>
    <mergeCell ref="P2:X2"/>
    <mergeCell ref="D4:D8"/>
    <mergeCell ref="E4:F4"/>
    <mergeCell ref="I4:M4"/>
    <mergeCell ref="P4:P8"/>
    <mergeCell ref="Q4:S4"/>
    <mergeCell ref="U4:U7"/>
    <mergeCell ref="V4:X4"/>
    <mergeCell ref="H5:H6"/>
    <mergeCell ref="I5:K5"/>
    <mergeCell ref="L5:M5"/>
    <mergeCell ref="R5:S5"/>
    <mergeCell ref="W5:X5"/>
    <mergeCell ref="I6:K6"/>
    <mergeCell ref="L6:M6"/>
  </mergeCells>
  <phoneticPr fontId="1" type="noConversion"/>
  <conditionalFormatting sqref="K27:K28">
    <cfRule type="cellIs" dxfId="2" priority="1" operator="lessThan">
      <formula>0</formula>
    </cfRule>
  </conditionalFormatting>
  <dataValidations count="5">
    <dataValidation type="list" allowBlank="1" showInputMessage="1" showErrorMessage="1" sqref="C14:C19" xr:uid="{A625BAE3-1791-4BF1-9C58-26A36957C21E}">
      <formula1>$B$13:$B$19</formula1>
    </dataValidation>
    <dataValidation type="list" allowBlank="1" showInputMessage="1" showErrorMessage="1" sqref="A12:A19" xr:uid="{898AF4AC-8D07-4C3C-A428-127138D21BE5}">
      <formula1>$A$13:$A$19</formula1>
    </dataValidation>
    <dataValidation type="list" allowBlank="1" showInputMessage="1" showErrorMessage="1" sqref="W7" xr:uid="{28BB9EC0-86B2-47C5-9C05-D529791E7942}">
      <formula1>$B$5:$B$11</formula1>
    </dataValidation>
    <dataValidation type="list" allowBlank="1" showInputMessage="1" showErrorMessage="1" sqref="R8" xr:uid="{55BAFFA0-F298-4898-A57B-FD1C4500A5F8}">
      <formula1>$B$6:$B$11</formula1>
    </dataValidation>
    <dataValidation type="list" allowBlank="1" showInputMessage="1" showErrorMessage="1" sqref="R7 B33:B41 B31 W6" xr:uid="{C0F7E9C9-B41D-4225-8746-2100D9BE2118}">
      <formula1>$B$31:$B$34</formula1>
    </dataValidation>
  </dataValidations>
  <pageMargins left="0.25" right="0.25" top="0.75" bottom="0.75" header="0.3" footer="0.3"/>
  <pageSetup paperSize="9"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9624-CC86-4F32-BBA9-D58A7948AF27}">
  <sheetPr>
    <pageSetUpPr fitToPage="1"/>
  </sheetPr>
  <dimension ref="A1:Y55"/>
  <sheetViews>
    <sheetView view="pageBreakPreview" topLeftCell="C5" zoomScale="85" zoomScaleNormal="55" zoomScaleSheetLayoutView="85" workbookViewId="0">
      <selection activeCell="K13" sqref="K13"/>
    </sheetView>
  </sheetViews>
  <sheetFormatPr defaultRowHeight="16.5" x14ac:dyDescent="0.3"/>
  <cols>
    <col min="1" max="2" width="9" customWidth="1"/>
    <col min="3" max="3" width="3.625" customWidth="1"/>
    <col min="4" max="4" width="10.5" customWidth="1"/>
    <col min="5" max="6" width="18.625" customWidth="1"/>
    <col min="7" max="7" width="2.75" customWidth="1"/>
    <col min="8" max="8" width="9" customWidth="1"/>
    <col min="9" max="9" width="10.625" customWidth="1"/>
    <col min="10" max="10" width="11.75" customWidth="1"/>
    <col min="11" max="11" width="14.125" customWidth="1"/>
    <col min="12" max="12" width="15.5" bestFit="1" customWidth="1"/>
    <col min="13" max="13" width="56" style="1" customWidth="1"/>
    <col min="14" max="14" width="3.625" customWidth="1"/>
    <col min="15" max="15" width="2.625" customWidth="1"/>
    <col min="16" max="16" width="11.5" bestFit="1" customWidth="1"/>
    <col min="17" max="17" width="9" customWidth="1"/>
  </cols>
  <sheetData>
    <row r="1" spans="1:25" ht="17.25" thickBot="1" x14ac:dyDescent="0.35"/>
    <row r="2" spans="1:25" ht="42" customHeight="1" thickBot="1" x14ac:dyDescent="0.35">
      <c r="D2" s="127" t="s">
        <v>75</v>
      </c>
      <c r="E2" s="127"/>
      <c r="F2" s="127"/>
      <c r="G2" s="127"/>
      <c r="H2" s="127"/>
      <c r="I2" s="127"/>
      <c r="J2" s="127"/>
      <c r="K2" s="127"/>
      <c r="L2" s="127"/>
      <c r="M2" s="128"/>
      <c r="P2" s="129" t="s">
        <v>54</v>
      </c>
      <c r="Q2" s="130"/>
      <c r="R2" s="130"/>
      <c r="S2" s="130"/>
      <c r="T2" s="130"/>
      <c r="U2" s="130"/>
      <c r="V2" s="130"/>
      <c r="W2" s="130"/>
      <c r="X2" s="131"/>
    </row>
    <row r="3" spans="1:25" ht="17.25" thickBot="1" x14ac:dyDescent="0.35">
      <c r="P3" s="87"/>
      <c r="X3" s="86"/>
    </row>
    <row r="4" spans="1:25" ht="17.25" thickBot="1" x14ac:dyDescent="0.35">
      <c r="D4" s="132" t="s">
        <v>1</v>
      </c>
      <c r="E4" s="135" t="str">
        <f>Q4</f>
        <v>AUTOCOM</v>
      </c>
      <c r="F4" s="136"/>
      <c r="H4" s="9" t="s">
        <v>2</v>
      </c>
      <c r="I4" s="137" t="s">
        <v>63</v>
      </c>
      <c r="J4" s="138"/>
      <c r="K4" s="138"/>
      <c r="L4" s="138"/>
      <c r="M4" s="136"/>
      <c r="P4" s="132" t="s">
        <v>1</v>
      </c>
      <c r="Q4" s="139" t="s">
        <v>64</v>
      </c>
      <c r="R4" s="140"/>
      <c r="S4" s="141"/>
      <c r="U4" s="132" t="s">
        <v>15</v>
      </c>
      <c r="V4" s="142" t="s">
        <v>66</v>
      </c>
      <c r="W4" s="140"/>
      <c r="X4" s="141"/>
    </row>
    <row r="5" spans="1:25" ht="17.25" thickBot="1" x14ac:dyDescent="0.35">
      <c r="B5">
        <v>0</v>
      </c>
      <c r="D5" s="133"/>
      <c r="E5" s="26" t="s">
        <v>3</v>
      </c>
      <c r="F5" s="5" t="str">
        <f>R5</f>
        <v>F</v>
      </c>
      <c r="H5" s="143" t="s">
        <v>53</v>
      </c>
      <c r="I5" s="145" t="s">
        <v>4</v>
      </c>
      <c r="J5" s="146"/>
      <c r="K5" s="147"/>
      <c r="L5" s="148">
        <v>2.4E-2</v>
      </c>
      <c r="M5" s="149"/>
      <c r="P5" s="133"/>
      <c r="Q5" s="83" t="s">
        <v>3</v>
      </c>
      <c r="R5" s="150" t="s">
        <v>65</v>
      </c>
      <c r="S5" s="151"/>
      <c r="U5" s="133"/>
      <c r="V5" s="83" t="s">
        <v>5</v>
      </c>
      <c r="W5" s="129" t="s">
        <v>56</v>
      </c>
      <c r="X5" s="131"/>
      <c r="Y5" t="s">
        <v>70</v>
      </c>
    </row>
    <row r="6" spans="1:25" ht="17.25" thickBot="1" x14ac:dyDescent="0.35">
      <c r="B6">
        <v>30</v>
      </c>
      <c r="D6" s="133"/>
      <c r="E6" s="26" t="s">
        <v>5</v>
      </c>
      <c r="F6" s="5" t="str">
        <f>R6</f>
        <v>FOB</v>
      </c>
      <c r="H6" s="144"/>
      <c r="I6" s="152" t="s">
        <v>60</v>
      </c>
      <c r="J6" s="153"/>
      <c r="K6" s="153"/>
      <c r="L6" s="154">
        <v>0.04</v>
      </c>
      <c r="M6" s="155"/>
      <c r="P6" s="133"/>
      <c r="Q6" s="83" t="s">
        <v>5</v>
      </c>
      <c r="R6" s="129" t="s">
        <v>56</v>
      </c>
      <c r="S6" s="131"/>
      <c r="U6" s="133"/>
      <c r="V6" s="83" t="s">
        <v>6</v>
      </c>
      <c r="W6" s="129" t="s">
        <v>40</v>
      </c>
      <c r="X6" s="131"/>
    </row>
    <row r="7" spans="1:25" ht="17.25" thickBot="1" x14ac:dyDescent="0.35">
      <c r="B7">
        <v>60</v>
      </c>
      <c r="D7" s="133"/>
      <c r="E7" s="26" t="s">
        <v>6</v>
      </c>
      <c r="F7" s="80" t="str">
        <f>R7</f>
        <v>D/A</v>
      </c>
      <c r="I7" s="43"/>
      <c r="P7" s="133"/>
      <c r="Q7" s="83" t="s">
        <v>6</v>
      </c>
      <c r="R7" s="129" t="s">
        <v>49</v>
      </c>
      <c r="S7" s="131"/>
      <c r="U7" s="134"/>
      <c r="V7" s="84" t="s">
        <v>8</v>
      </c>
      <c r="W7" s="156">
        <v>90</v>
      </c>
      <c r="X7" s="157"/>
      <c r="Y7" t="s">
        <v>71</v>
      </c>
    </row>
    <row r="8" spans="1:25" ht="17.25" customHeight="1" thickBot="1" x14ac:dyDescent="0.35">
      <c r="B8">
        <v>90</v>
      </c>
      <c r="D8" s="134"/>
      <c r="E8" s="26" t="s">
        <v>8</v>
      </c>
      <c r="F8" s="82">
        <f>R8</f>
        <v>180</v>
      </c>
      <c r="H8" s="152" t="s">
        <v>9</v>
      </c>
      <c r="I8" s="153"/>
      <c r="J8" s="153"/>
      <c r="K8" s="9" t="s">
        <v>10</v>
      </c>
      <c r="L8" s="40" t="s">
        <v>11</v>
      </c>
      <c r="M8" s="7" t="s">
        <v>12</v>
      </c>
      <c r="O8" s="46"/>
      <c r="P8" s="134"/>
      <c r="Q8" s="84" t="s">
        <v>8</v>
      </c>
      <c r="R8" s="156">
        <v>180</v>
      </c>
      <c r="S8" s="157"/>
      <c r="X8" s="86"/>
    </row>
    <row r="9" spans="1:25" ht="17.25" thickBot="1" x14ac:dyDescent="0.35">
      <c r="B9">
        <v>120</v>
      </c>
      <c r="H9" s="158" t="s">
        <v>14</v>
      </c>
      <c r="I9" s="159"/>
      <c r="J9" s="159"/>
      <c r="K9" s="54">
        <v>1000000</v>
      </c>
      <c r="L9" s="44">
        <f>K9/$K$24</f>
        <v>0.94050399916408012</v>
      </c>
      <c r="M9" s="15" t="s">
        <v>68</v>
      </c>
      <c r="P9" s="91"/>
      <c r="Q9" s="160"/>
      <c r="R9" s="160"/>
      <c r="S9" s="160"/>
      <c r="X9" s="86"/>
    </row>
    <row r="10" spans="1:25" ht="18" thickTop="1" thickBot="1" x14ac:dyDescent="0.35">
      <c r="B10">
        <v>150</v>
      </c>
      <c r="D10" s="132" t="s">
        <v>15</v>
      </c>
      <c r="E10" s="135" t="str">
        <f>V4</f>
        <v>JAC</v>
      </c>
      <c r="F10" s="136"/>
      <c r="H10" s="167" t="s">
        <v>16</v>
      </c>
      <c r="I10" s="168"/>
      <c r="J10" s="168"/>
      <c r="K10" s="50">
        <v>0</v>
      </c>
      <c r="L10" s="20">
        <f t="shared" ref="L10:L19" si="0">K10/$K$24</f>
        <v>0</v>
      </c>
      <c r="M10" s="6" t="s">
        <v>17</v>
      </c>
      <c r="P10" s="161" t="s">
        <v>59</v>
      </c>
      <c r="Q10" s="49" t="s">
        <v>31</v>
      </c>
      <c r="R10" s="78" t="s">
        <v>0</v>
      </c>
      <c r="S10" s="79" t="s">
        <v>52</v>
      </c>
      <c r="U10" s="164" t="s">
        <v>53</v>
      </c>
      <c r="V10" s="165"/>
      <c r="W10" s="165"/>
      <c r="X10" s="166"/>
    </row>
    <row r="11" spans="1:25" ht="17.25" thickBot="1" x14ac:dyDescent="0.35">
      <c r="B11">
        <v>180</v>
      </c>
      <c r="D11" s="133"/>
      <c r="E11" s="26" t="s">
        <v>5</v>
      </c>
      <c r="F11" s="5" t="str">
        <f>W5</f>
        <v>FOB</v>
      </c>
      <c r="H11" s="167" t="s">
        <v>18</v>
      </c>
      <c r="I11" s="168"/>
      <c r="J11" s="168"/>
      <c r="K11" s="50">
        <v>0</v>
      </c>
      <c r="L11" s="20">
        <f t="shared" si="0"/>
        <v>0</v>
      </c>
      <c r="M11" s="6" t="s">
        <v>17</v>
      </c>
      <c r="P11" s="162"/>
      <c r="Q11" s="169">
        <v>46099</v>
      </c>
      <c r="R11" s="10">
        <v>30</v>
      </c>
      <c r="S11" s="92">
        <v>3.6750400000000003E-2</v>
      </c>
      <c r="U11" s="137" t="s">
        <v>4</v>
      </c>
      <c r="V11" s="138"/>
      <c r="W11" s="138"/>
      <c r="X11" s="97">
        <v>2.4E-2</v>
      </c>
    </row>
    <row r="12" spans="1:25" ht="17.25" thickBot="1" x14ac:dyDescent="0.35">
      <c r="B12">
        <v>1</v>
      </c>
      <c r="D12" s="133"/>
      <c r="E12" s="26" t="s">
        <v>6</v>
      </c>
      <c r="F12" s="85" t="str">
        <f>W6</f>
        <v>L/C</v>
      </c>
      <c r="G12" s="3"/>
      <c r="H12" s="167" t="s">
        <v>19</v>
      </c>
      <c r="I12" s="168"/>
      <c r="J12" s="168"/>
      <c r="K12" s="50">
        <v>0</v>
      </c>
      <c r="L12" s="20">
        <f t="shared" si="0"/>
        <v>0</v>
      </c>
      <c r="M12" s="6"/>
      <c r="O12" s="41"/>
      <c r="P12" s="162"/>
      <c r="Q12" s="170"/>
      <c r="R12" s="59">
        <v>60</v>
      </c>
      <c r="S12" s="93">
        <v>3.6852599999999999E-2</v>
      </c>
      <c r="U12" s="172" t="s">
        <v>60</v>
      </c>
      <c r="V12" s="173"/>
      <c r="W12" s="173"/>
      <c r="X12" s="98">
        <v>0.04</v>
      </c>
    </row>
    <row r="13" spans="1:25" ht="17.25" thickBot="1" x14ac:dyDescent="0.35">
      <c r="A13" s="28"/>
      <c r="B13">
        <v>2</v>
      </c>
      <c r="D13" s="134"/>
      <c r="E13" s="26" t="s">
        <v>8</v>
      </c>
      <c r="F13" s="81">
        <f>W7</f>
        <v>90</v>
      </c>
      <c r="G13" s="2"/>
      <c r="H13" s="167" t="s">
        <v>20</v>
      </c>
      <c r="I13" s="168"/>
      <c r="J13" s="168"/>
      <c r="K13" s="99">
        <f>K24*F21*0.85</f>
        <v>5151.4932465000002</v>
      </c>
      <c r="L13" s="20">
        <f>K13/$K$24</f>
        <v>4.8450000000000003E-3</v>
      </c>
      <c r="M13" s="8" t="s">
        <v>83</v>
      </c>
      <c r="O13" s="41"/>
      <c r="P13" s="162"/>
      <c r="Q13" s="170"/>
      <c r="R13" s="11">
        <v>90</v>
      </c>
      <c r="S13" s="93">
        <v>3.6852599999999999E-2</v>
      </c>
      <c r="U13" t="s">
        <v>69</v>
      </c>
      <c r="X13" s="86"/>
    </row>
    <row r="14" spans="1:25" ht="17.25" thickBot="1" x14ac:dyDescent="0.35">
      <c r="A14" s="29"/>
      <c r="B14">
        <v>3</v>
      </c>
      <c r="G14" s="2"/>
      <c r="H14" s="18" t="s">
        <v>21</v>
      </c>
      <c r="I14" s="19"/>
      <c r="J14" s="19"/>
      <c r="K14" s="50">
        <f>IF(F12="L/C",K9*0.3%*F13/360,0)</f>
        <v>750</v>
      </c>
      <c r="L14" s="20">
        <f>K14/$K$24</f>
        <v>7.0537799937306009E-4</v>
      </c>
      <c r="M14" s="77" t="s">
        <v>51</v>
      </c>
      <c r="O14" s="41"/>
      <c r="P14" s="162"/>
      <c r="Q14" s="170"/>
      <c r="R14" s="11">
        <v>120</v>
      </c>
      <c r="S14" s="94">
        <v>3.6679099999999999E-2</v>
      </c>
      <c r="X14" s="86"/>
    </row>
    <row r="15" spans="1:25" ht="16.5" customHeight="1" thickBot="1" x14ac:dyDescent="0.35">
      <c r="A15" s="30"/>
      <c r="B15">
        <v>4</v>
      </c>
      <c r="D15" s="49" t="s">
        <v>73</v>
      </c>
      <c r="E15" s="174" t="s">
        <v>67</v>
      </c>
      <c r="F15" s="175"/>
      <c r="G15" s="2"/>
      <c r="H15" s="167" t="s">
        <v>22</v>
      </c>
      <c r="I15" s="168"/>
      <c r="J15" s="176"/>
      <c r="K15" s="50">
        <v>0</v>
      </c>
      <c r="L15" s="20">
        <f t="shared" si="0"/>
        <v>0</v>
      </c>
      <c r="M15" s="8"/>
      <c r="O15" s="41"/>
      <c r="P15" s="162"/>
      <c r="Q15" s="170"/>
      <c r="R15" s="11">
        <v>150</v>
      </c>
      <c r="S15" s="94">
        <v>3.6679099999999999E-2</v>
      </c>
      <c r="X15" s="86"/>
    </row>
    <row r="16" spans="1:25" x14ac:dyDescent="0.3">
      <c r="A16" s="31"/>
      <c r="B16">
        <v>5</v>
      </c>
      <c r="D16" s="177" t="s">
        <v>84</v>
      </c>
      <c r="E16" s="10">
        <v>30</v>
      </c>
      <c r="F16" s="27">
        <v>2.3E-3</v>
      </c>
      <c r="G16" s="2"/>
      <c r="H16" s="167" t="s">
        <v>23</v>
      </c>
      <c r="I16" s="168"/>
      <c r="J16" s="176"/>
      <c r="K16" s="50">
        <f>K24*0.02%</f>
        <v>212.65194</v>
      </c>
      <c r="L16" s="20">
        <f t="shared" si="0"/>
        <v>2.0000000000000001E-4</v>
      </c>
      <c r="M16" s="6" t="s">
        <v>57</v>
      </c>
      <c r="O16" s="41"/>
      <c r="P16" s="162"/>
      <c r="Q16" s="170"/>
      <c r="R16" s="11">
        <v>180</v>
      </c>
      <c r="S16" s="94">
        <v>3.6679099999999999E-2</v>
      </c>
      <c r="X16" s="86"/>
    </row>
    <row r="17" spans="1:24" ht="17.25" thickBot="1" x14ac:dyDescent="0.35">
      <c r="A17" s="32"/>
      <c r="B17">
        <v>6</v>
      </c>
      <c r="D17" s="177"/>
      <c r="E17" s="11">
        <v>60</v>
      </c>
      <c r="F17" s="45">
        <v>2.8E-3</v>
      </c>
      <c r="G17" s="2"/>
      <c r="H17" s="179" t="s">
        <v>24</v>
      </c>
      <c r="I17" s="180"/>
      <c r="J17" s="181"/>
      <c r="K17" s="50">
        <v>0</v>
      </c>
      <c r="L17" s="20">
        <f t="shared" si="0"/>
        <v>0</v>
      </c>
      <c r="M17" s="6" t="s">
        <v>25</v>
      </c>
      <c r="O17" s="41"/>
      <c r="P17" s="163"/>
      <c r="Q17" s="171"/>
      <c r="R17" s="12">
        <v>360</v>
      </c>
      <c r="S17" s="95">
        <v>3.6130700000000002E-2</v>
      </c>
      <c r="X17" s="86"/>
    </row>
    <row r="18" spans="1:24" ht="17.25" thickBot="1" x14ac:dyDescent="0.35">
      <c r="A18" s="33"/>
      <c r="B18">
        <v>7</v>
      </c>
      <c r="D18" s="177"/>
      <c r="E18" s="11">
        <v>90</v>
      </c>
      <c r="F18" s="100">
        <v>3.3E-3</v>
      </c>
      <c r="G18" s="2"/>
      <c r="H18" s="182" t="s">
        <v>26</v>
      </c>
      <c r="I18" s="183"/>
      <c r="J18" s="184"/>
      <c r="K18" s="51">
        <f>SUM(K10:K17)</f>
        <v>6114.1451864999999</v>
      </c>
      <c r="L18" s="21">
        <f>K18/$K$24</f>
        <v>5.7503779993730601E-3</v>
      </c>
      <c r="M18" s="17"/>
      <c r="O18" s="41"/>
      <c r="P18" s="87" t="s">
        <v>55</v>
      </c>
      <c r="X18" s="86"/>
    </row>
    <row r="19" spans="1:24" ht="17.25" customHeight="1" thickTop="1" thickBot="1" x14ac:dyDescent="0.35">
      <c r="A19" s="34"/>
      <c r="D19" s="177"/>
      <c r="E19" s="11">
        <v>120</v>
      </c>
      <c r="F19" s="105">
        <v>4.1000000000000003E-3</v>
      </c>
      <c r="G19" s="2"/>
      <c r="H19" s="185" t="s">
        <v>27</v>
      </c>
      <c r="I19" s="186"/>
      <c r="J19" s="187"/>
      <c r="K19" s="52">
        <f>K24*VLOOKUP(F8,D34:F40,3,FALSE)*F8/360</f>
        <v>23752.743231134995</v>
      </c>
      <c r="L19" s="20">
        <f t="shared" si="0"/>
        <v>2.2339549999999996E-2</v>
      </c>
      <c r="M19" s="8" t="s">
        <v>28</v>
      </c>
      <c r="O19" s="41"/>
      <c r="P19" s="88"/>
      <c r="Q19" s="89"/>
      <c r="R19" s="89"/>
      <c r="S19" s="89"/>
      <c r="T19" s="89"/>
      <c r="U19" s="89"/>
      <c r="V19" s="89"/>
      <c r="W19" s="89"/>
      <c r="X19" s="90"/>
    </row>
    <row r="20" spans="1:24" ht="17.25" thickBot="1" x14ac:dyDescent="0.35">
      <c r="B20" t="str">
        <f t="shared" ref="B20:B25" si="1">MID("ABCDEFGHIJKLMNOPQRSTUVWXYZ",B12,1)</f>
        <v>A</v>
      </c>
      <c r="D20" s="177"/>
      <c r="E20" s="11">
        <v>150</v>
      </c>
      <c r="F20" s="45">
        <v>4.8999999999999998E-3</v>
      </c>
      <c r="G20" s="2"/>
      <c r="H20" s="182" t="s">
        <v>29</v>
      </c>
      <c r="I20" s="183"/>
      <c r="J20" s="184"/>
      <c r="K20" s="53">
        <f>K19</f>
        <v>23752.743231134995</v>
      </c>
      <c r="L20" s="22">
        <f>L19</f>
        <v>2.2339549999999996E-2</v>
      </c>
      <c r="M20" s="17" t="s">
        <v>17</v>
      </c>
      <c r="O20" s="41"/>
    </row>
    <row r="21" spans="1:24" ht="17.25" customHeight="1" thickTop="1" thickBot="1" x14ac:dyDescent="0.35">
      <c r="A21" s="35"/>
      <c r="B21" t="str">
        <f t="shared" si="1"/>
        <v>B</v>
      </c>
      <c r="D21" s="178"/>
      <c r="E21" s="12">
        <v>180</v>
      </c>
      <c r="F21" s="107">
        <v>5.7000000000000002E-3</v>
      </c>
      <c r="G21" s="2"/>
      <c r="H21" s="188" t="s">
        <v>30</v>
      </c>
      <c r="I21" s="189"/>
      <c r="J21" s="189"/>
      <c r="K21" s="55">
        <f>SUM(K18+K20)</f>
        <v>29866.888417634997</v>
      </c>
      <c r="L21" s="23">
        <f>K21/K24</f>
        <v>2.8089927999373057E-2</v>
      </c>
      <c r="M21" s="16"/>
      <c r="O21" s="41"/>
    </row>
    <row r="22" spans="1:24" ht="17.25" thickBot="1" x14ac:dyDescent="0.35">
      <c r="B22" t="str">
        <f t="shared" si="1"/>
        <v>C</v>
      </c>
      <c r="F22" s="101" t="s">
        <v>74</v>
      </c>
      <c r="G22" s="2"/>
      <c r="O22" s="41"/>
      <c r="P22" s="104"/>
      <c r="Q22" s="41"/>
      <c r="R22" s="41"/>
      <c r="S22" s="41"/>
      <c r="T22" s="41"/>
      <c r="U22" s="41"/>
      <c r="V22" s="41"/>
      <c r="W22" s="41"/>
    </row>
    <row r="23" spans="1:24" ht="17.25" thickBot="1" x14ac:dyDescent="0.35">
      <c r="B23" t="str">
        <f t="shared" si="1"/>
        <v>D</v>
      </c>
      <c r="D23" s="49" t="s">
        <v>31</v>
      </c>
      <c r="E23" s="174" t="s">
        <v>59</v>
      </c>
      <c r="F23" s="175"/>
      <c r="G23" s="2"/>
      <c r="H23" s="152" t="s">
        <v>9</v>
      </c>
      <c r="I23" s="153"/>
      <c r="J23" s="153"/>
      <c r="K23" s="9" t="s">
        <v>10</v>
      </c>
      <c r="L23" s="36" t="s">
        <v>32</v>
      </c>
      <c r="M23" s="7" t="s">
        <v>12</v>
      </c>
      <c r="O23" s="41"/>
      <c r="P23" s="41"/>
      <c r="Q23" s="41"/>
      <c r="R23" s="41"/>
      <c r="S23" s="41"/>
      <c r="T23" s="41"/>
      <c r="U23" s="41"/>
      <c r="V23" s="41"/>
      <c r="W23" s="41"/>
    </row>
    <row r="24" spans="1:24" x14ac:dyDescent="0.3">
      <c r="B24" t="str">
        <f t="shared" si="1"/>
        <v>E</v>
      </c>
      <c r="D24" s="196">
        <f>Q11</f>
        <v>46099</v>
      </c>
      <c r="E24" s="10">
        <v>30</v>
      </c>
      <c r="F24" s="27">
        <f t="shared" ref="F24:F25" si="2">S11</f>
        <v>3.6750400000000003E-2</v>
      </c>
      <c r="G24" s="2"/>
      <c r="H24" s="199" t="s">
        <v>33</v>
      </c>
      <c r="I24" s="200"/>
      <c r="J24" s="200"/>
      <c r="K24" s="68">
        <f>K9+K25+K26</f>
        <v>1063259.7</v>
      </c>
      <c r="L24" s="37">
        <f>K24/$K$24</f>
        <v>1</v>
      </c>
      <c r="M24" s="4" t="s">
        <v>34</v>
      </c>
      <c r="O24" s="41"/>
      <c r="P24" s="41"/>
      <c r="Q24" s="41"/>
      <c r="R24" s="41"/>
      <c r="S24" s="41"/>
      <c r="T24" s="41"/>
      <c r="U24" s="41"/>
      <c r="V24" s="41"/>
      <c r="W24" s="41"/>
    </row>
    <row r="25" spans="1:24" ht="17.25" customHeight="1" x14ac:dyDescent="0.3">
      <c r="B25" t="str">
        <f t="shared" si="1"/>
        <v>F</v>
      </c>
      <c r="D25" s="197"/>
      <c r="E25" s="59">
        <v>60</v>
      </c>
      <c r="F25" s="45">
        <f t="shared" si="2"/>
        <v>3.6852599999999999E-2</v>
      </c>
      <c r="G25" s="2"/>
      <c r="H25" s="201" t="s">
        <v>61</v>
      </c>
      <c r="I25" s="202"/>
      <c r="J25" s="202"/>
      <c r="K25" s="69">
        <f>K9*L5</f>
        <v>24000</v>
      </c>
      <c r="L25" s="38">
        <f>K25/$K$24</f>
        <v>2.2572095979937923E-2</v>
      </c>
      <c r="M25" s="8"/>
      <c r="O25" s="41"/>
      <c r="P25" s="41"/>
      <c r="Q25" s="41"/>
      <c r="R25" s="41"/>
      <c r="S25" s="41"/>
      <c r="T25" s="41"/>
      <c r="U25" s="41"/>
      <c r="V25" s="41"/>
      <c r="W25" s="41"/>
    </row>
    <row r="26" spans="1:24" ht="17.25" customHeight="1" x14ac:dyDescent="0.3">
      <c r="D26" s="197"/>
      <c r="E26" s="11">
        <v>90</v>
      </c>
      <c r="F26" s="45">
        <f>S13</f>
        <v>3.6852599999999999E-2</v>
      </c>
      <c r="G26" s="2"/>
      <c r="H26" s="201" t="s">
        <v>62</v>
      </c>
      <c r="I26" s="202"/>
      <c r="J26" s="203"/>
      <c r="K26" s="69">
        <f>ROUND((K9+K25)*(S14+L6)*F8/360,2)</f>
        <v>39259.699999999997</v>
      </c>
      <c r="L26" s="38">
        <f>K26/$K$24</f>
        <v>3.6923904855982036E-2</v>
      </c>
      <c r="M26" s="8"/>
      <c r="O26" s="41"/>
      <c r="P26" s="41"/>
      <c r="Q26" s="41"/>
      <c r="R26" s="41"/>
      <c r="S26" s="41"/>
      <c r="T26" s="41"/>
      <c r="U26" s="41"/>
      <c r="V26" s="41"/>
      <c r="W26" s="41"/>
    </row>
    <row r="27" spans="1:24" x14ac:dyDescent="0.3">
      <c r="B27" t="str">
        <f>MID("ABCDEFGHIJKLMNOPQRSTUVWXYZ",B18,1)</f>
        <v>G</v>
      </c>
      <c r="D27" s="197"/>
      <c r="E27" s="11">
        <v>120</v>
      </c>
      <c r="F27" s="106">
        <f>S14</f>
        <v>3.6679099999999999E-2</v>
      </c>
      <c r="G27" s="2"/>
      <c r="H27" s="201" t="s">
        <v>35</v>
      </c>
      <c r="I27" s="202"/>
      <c r="J27" s="202"/>
      <c r="K27" s="69">
        <f>K25+K26-K18</f>
        <v>57145.554813499999</v>
      </c>
      <c r="L27" s="38">
        <f>K27/$K$24</f>
        <v>5.3745622836546894E-2</v>
      </c>
      <c r="M27" s="8" t="s">
        <v>36</v>
      </c>
      <c r="O27" s="41"/>
      <c r="P27" s="41"/>
      <c r="Q27" s="41"/>
      <c r="R27" s="41"/>
      <c r="S27" s="41"/>
      <c r="T27" s="41"/>
      <c r="U27" s="41"/>
      <c r="V27" s="41"/>
      <c r="W27" s="41"/>
    </row>
    <row r="28" spans="1:24" ht="17.25" thickBot="1" x14ac:dyDescent="0.35">
      <c r="D28" s="197"/>
      <c r="E28" s="11">
        <v>150</v>
      </c>
      <c r="F28" s="45">
        <f>S15</f>
        <v>3.6679099999999999E-2</v>
      </c>
      <c r="G28" s="2"/>
      <c r="H28" s="204" t="s">
        <v>37</v>
      </c>
      <c r="I28" s="205"/>
      <c r="J28" s="205"/>
      <c r="K28" s="70">
        <f>K25+K26-K21</f>
        <v>33392.811582365001</v>
      </c>
      <c r="L28" s="39">
        <f>K28/$K$24</f>
        <v>3.1406072836546894E-2</v>
      </c>
      <c r="M28" s="14" t="s">
        <v>72</v>
      </c>
      <c r="O28" s="41"/>
      <c r="P28" s="41"/>
      <c r="Q28" s="41"/>
      <c r="R28" s="41"/>
      <c r="S28" s="41"/>
      <c r="T28" s="41"/>
      <c r="U28" s="41"/>
      <c r="V28" s="41"/>
      <c r="W28" s="41"/>
    </row>
    <row r="29" spans="1:24" ht="17.25" thickBot="1" x14ac:dyDescent="0.35">
      <c r="B29" s="1" cm="1">
        <f t="array" aca="1" ref="B29" ca="1">COLUMN(INDIRECT(D16&amp;1))</f>
        <v>2</v>
      </c>
      <c r="D29" s="197"/>
      <c r="E29" s="11">
        <v>180</v>
      </c>
      <c r="F29" s="103">
        <f>S16</f>
        <v>3.6679099999999999E-2</v>
      </c>
      <c r="K29" s="42"/>
      <c r="O29" s="41"/>
      <c r="P29" s="76" t="s">
        <v>13</v>
      </c>
      <c r="Q29" s="41"/>
      <c r="R29" s="41"/>
      <c r="S29" s="41"/>
      <c r="T29" s="41"/>
      <c r="U29" s="41"/>
      <c r="V29" s="41"/>
      <c r="W29" s="41"/>
    </row>
    <row r="30" spans="1:24" ht="17.25" thickBot="1" x14ac:dyDescent="0.35">
      <c r="D30" s="198"/>
      <c r="E30" s="12">
        <v>360</v>
      </c>
      <c r="F30" s="96">
        <f>S17</f>
        <v>3.6130700000000002E-2</v>
      </c>
      <c r="H30" s="152" t="s">
        <v>12</v>
      </c>
      <c r="I30" s="153"/>
      <c r="J30" s="153"/>
      <c r="K30" s="153"/>
      <c r="L30" s="153"/>
      <c r="M30" s="206"/>
      <c r="O30" s="41"/>
      <c r="P30" s="71"/>
      <c r="Q30" s="72">
        <v>1</v>
      </c>
      <c r="R30" s="72">
        <v>2</v>
      </c>
      <c r="S30" s="72">
        <v>3</v>
      </c>
      <c r="T30" s="72">
        <v>4</v>
      </c>
      <c r="U30" s="72">
        <v>5</v>
      </c>
      <c r="V30" s="72">
        <v>6</v>
      </c>
      <c r="W30" s="72">
        <v>7</v>
      </c>
    </row>
    <row r="31" spans="1:24" ht="17.25" customHeight="1" thickBot="1" x14ac:dyDescent="0.35">
      <c r="B31" t="s">
        <v>7</v>
      </c>
      <c r="D31" s="58"/>
      <c r="E31" s="47"/>
      <c r="F31" s="47"/>
      <c r="H31" s="190"/>
      <c r="I31" s="191"/>
      <c r="J31" s="191"/>
      <c r="K31" s="191"/>
      <c r="L31" s="191"/>
      <c r="M31" s="192"/>
      <c r="O31" s="41"/>
      <c r="P31" s="73">
        <v>30</v>
      </c>
      <c r="Q31" s="74">
        <v>1.9832463333333329E-3</v>
      </c>
      <c r="R31" s="74">
        <v>2.9267343333333326E-3</v>
      </c>
      <c r="S31" s="74">
        <v>3.5073423333333324E-3</v>
      </c>
      <c r="T31" s="74">
        <v>4.0879503333333331E-3</v>
      </c>
      <c r="U31" s="74">
        <v>4.6685583333333329E-3</v>
      </c>
      <c r="V31" s="74">
        <v>5.2491663333333327E-3</v>
      </c>
      <c r="W31" s="74">
        <v>6.7006863333333331E-3</v>
      </c>
    </row>
    <row r="32" spans="1:24" ht="17.25" thickBot="1" x14ac:dyDescent="0.35">
      <c r="B32" t="s">
        <v>48</v>
      </c>
      <c r="D32" s="49" t="s">
        <v>31</v>
      </c>
      <c r="E32" s="194" t="s">
        <v>58</v>
      </c>
      <c r="F32" s="195"/>
      <c r="H32" s="190"/>
      <c r="I32" s="191"/>
      <c r="J32" s="191"/>
      <c r="K32" s="191"/>
      <c r="L32" s="191"/>
      <c r="M32" s="192"/>
      <c r="O32" s="41"/>
      <c r="P32" s="73">
        <v>60</v>
      </c>
      <c r="Q32" s="74">
        <v>3.3740660000000002E-3</v>
      </c>
      <c r="R32" s="74">
        <v>4.5352819999999999E-3</v>
      </c>
      <c r="S32" s="74">
        <v>5.2610419999999996E-3</v>
      </c>
      <c r="T32" s="74">
        <v>5.9868019999999994E-3</v>
      </c>
      <c r="U32" s="74">
        <v>6.6399859999999996E-3</v>
      </c>
      <c r="V32" s="74">
        <v>7.3657459999999994E-3</v>
      </c>
      <c r="W32" s="75">
        <v>9.1801459999999984E-3</v>
      </c>
    </row>
    <row r="33" spans="2:23" ht="17.25" customHeight="1" thickBot="1" x14ac:dyDescent="0.35">
      <c r="B33" t="s">
        <v>38</v>
      </c>
      <c r="D33" s="61">
        <v>46099</v>
      </c>
      <c r="E33" s="66" t="s">
        <v>40</v>
      </c>
      <c r="F33" s="48" t="s">
        <v>7</v>
      </c>
      <c r="H33" s="190"/>
      <c r="I33" s="191"/>
      <c r="J33" s="191"/>
      <c r="K33" s="191"/>
      <c r="L33" s="191"/>
      <c r="M33" s="192"/>
      <c r="O33" s="41"/>
      <c r="P33" s="73">
        <v>90</v>
      </c>
      <c r="Q33" s="74">
        <v>4.5982189999999997E-3</v>
      </c>
      <c r="R33" s="74">
        <v>5.9771629999999997E-3</v>
      </c>
      <c r="S33" s="74">
        <v>6.8480749999999995E-3</v>
      </c>
      <c r="T33" s="74">
        <v>7.6464109999999997E-3</v>
      </c>
      <c r="U33" s="74">
        <v>8.5173230000000003E-3</v>
      </c>
      <c r="V33" s="74">
        <v>9.3156589999999987E-3</v>
      </c>
      <c r="W33" s="74">
        <v>1.1492939000000001E-2</v>
      </c>
    </row>
    <row r="34" spans="2:23" ht="17.25" thickBot="1" x14ac:dyDescent="0.35">
      <c r="B34" t="s">
        <v>39</v>
      </c>
      <c r="D34" s="62">
        <v>30</v>
      </c>
      <c r="E34" s="67">
        <f>$F$24+E52</f>
        <v>4.3250400000000001E-2</v>
      </c>
      <c r="F34" s="45">
        <f>$F$24+E46</f>
        <v>4.4750400000000003E-2</v>
      </c>
      <c r="H34" s="190"/>
      <c r="I34" s="191"/>
      <c r="J34" s="191"/>
      <c r="K34" s="191"/>
      <c r="L34" s="191"/>
      <c r="M34" s="192"/>
      <c r="O34" s="41"/>
      <c r="P34" s="73">
        <v>120</v>
      </c>
      <c r="Q34" s="74">
        <v>6.7565906666666661E-3</v>
      </c>
      <c r="R34" s="74">
        <v>8.4258386666666678E-3</v>
      </c>
      <c r="S34" s="74">
        <v>9.5144786666666661E-3</v>
      </c>
      <c r="T34" s="74">
        <v>1.0530542666666667E-2</v>
      </c>
      <c r="U34" s="74">
        <v>1.1546606666666666E-2</v>
      </c>
      <c r="V34" s="74">
        <v>1.256267066666667E-2</v>
      </c>
      <c r="W34" s="74">
        <v>1.5247982666666668E-2</v>
      </c>
    </row>
    <row r="35" spans="2:23" ht="17.25" thickBot="1" x14ac:dyDescent="0.35">
      <c r="D35" s="63">
        <v>60</v>
      </c>
      <c r="E35" s="56">
        <f>$F$25+E53</f>
        <v>4.4352599999999999E-2</v>
      </c>
      <c r="F35" s="45">
        <f>$F$25+E47</f>
        <v>4.4852599999999999E-2</v>
      </c>
      <c r="H35" s="190"/>
      <c r="I35" s="191"/>
      <c r="J35" s="191"/>
      <c r="K35" s="191"/>
      <c r="L35" s="191"/>
      <c r="M35" s="192"/>
      <c r="O35" s="41"/>
      <c r="P35" s="73">
        <v>180</v>
      </c>
      <c r="Q35" s="74">
        <v>9.8171579999999977E-3</v>
      </c>
      <c r="R35" s="74">
        <v>1.213959E-2</v>
      </c>
      <c r="S35" s="74">
        <v>1.3591109999999998E-2</v>
      </c>
      <c r="T35" s="74">
        <v>1.4970054000000002E-2</v>
      </c>
      <c r="U35" s="74">
        <v>1.6421573999999998E-2</v>
      </c>
      <c r="V35" s="74">
        <v>1.7800517999999998E-2</v>
      </c>
      <c r="W35" s="75">
        <v>2.1574470000000002E-2</v>
      </c>
    </row>
    <row r="36" spans="2:23" x14ac:dyDescent="0.3">
      <c r="D36" s="64">
        <v>90</v>
      </c>
      <c r="E36" s="56">
        <f>$F$26+E53</f>
        <v>4.4352599999999999E-2</v>
      </c>
      <c r="F36" s="25">
        <f>$F$26+E47</f>
        <v>4.4852599999999999E-2</v>
      </c>
      <c r="H36" s="190"/>
      <c r="I36" s="191"/>
      <c r="J36" s="191"/>
      <c r="K36" s="191"/>
      <c r="L36" s="191"/>
      <c r="M36" s="192"/>
      <c r="O36" s="41"/>
      <c r="P36" s="41"/>
      <c r="Q36" s="41"/>
      <c r="R36" s="41"/>
      <c r="S36" s="41"/>
      <c r="T36" s="41"/>
      <c r="U36" s="41"/>
      <c r="V36" s="41"/>
      <c r="W36" s="41"/>
    </row>
    <row r="37" spans="2:23" x14ac:dyDescent="0.3">
      <c r="D37" s="64">
        <v>120</v>
      </c>
      <c r="E37" s="56">
        <f>$F$27+E54</f>
        <v>4.4679099999999999E-2</v>
      </c>
      <c r="F37" s="105">
        <f>$F$27+E48</f>
        <v>4.4679099999999999E-2</v>
      </c>
      <c r="H37" s="190"/>
      <c r="I37" s="191"/>
      <c r="J37" s="191"/>
      <c r="K37" s="191"/>
      <c r="L37" s="191"/>
      <c r="M37" s="192"/>
      <c r="O37" s="41"/>
      <c r="P37" s="41"/>
      <c r="Q37" s="41"/>
      <c r="R37" s="41"/>
      <c r="S37" s="41"/>
      <c r="T37" s="41"/>
      <c r="U37" s="41"/>
      <c r="V37" s="41"/>
      <c r="W37" s="41"/>
    </row>
    <row r="38" spans="2:23" x14ac:dyDescent="0.3">
      <c r="D38" s="64">
        <v>150</v>
      </c>
      <c r="E38" s="56">
        <f>$F$28+E54</f>
        <v>4.4679099999999999E-2</v>
      </c>
      <c r="F38" s="25">
        <f>$F$28+E48</f>
        <v>4.4679099999999999E-2</v>
      </c>
      <c r="H38" s="190"/>
      <c r="I38" s="191"/>
      <c r="J38" s="191"/>
      <c r="K38" s="191"/>
      <c r="L38" s="191"/>
      <c r="M38" s="192"/>
      <c r="O38" s="41"/>
      <c r="P38" s="41"/>
      <c r="Q38" s="41"/>
      <c r="R38" s="41"/>
      <c r="S38" s="41"/>
      <c r="T38" s="41"/>
      <c r="U38" s="41"/>
      <c r="V38" s="41"/>
      <c r="W38" s="41"/>
    </row>
    <row r="39" spans="2:23" x14ac:dyDescent="0.3">
      <c r="D39" s="64">
        <v>180</v>
      </c>
      <c r="E39" s="56">
        <f>$F$29+E54</f>
        <v>4.4679099999999999E-2</v>
      </c>
      <c r="F39" s="102">
        <f>$F$29+E48</f>
        <v>4.4679099999999999E-2</v>
      </c>
      <c r="H39" s="190"/>
      <c r="I39" s="191"/>
      <c r="J39" s="191"/>
      <c r="K39" s="191"/>
      <c r="L39" s="191"/>
      <c r="M39" s="192"/>
      <c r="O39" s="41"/>
      <c r="P39" s="41">
        <v>1.85</v>
      </c>
      <c r="Q39" s="41">
        <v>1.75</v>
      </c>
      <c r="R39" s="41"/>
      <c r="S39" s="41"/>
      <c r="T39" s="41"/>
      <c r="U39" s="41"/>
      <c r="V39" s="41"/>
      <c r="W39" s="41"/>
    </row>
    <row r="40" spans="2:23" ht="17.25" thickBot="1" x14ac:dyDescent="0.35">
      <c r="D40" s="65">
        <v>360</v>
      </c>
      <c r="E40" s="57">
        <f>$F$30+E55</f>
        <v>4.8630699999999999E-2</v>
      </c>
      <c r="F40" s="13">
        <f>$F$30+E49</f>
        <v>4.4130700000000002E-2</v>
      </c>
      <c r="H40" s="172"/>
      <c r="I40" s="173"/>
      <c r="J40" s="173"/>
      <c r="K40" s="173"/>
      <c r="L40" s="173"/>
      <c r="M40" s="193"/>
      <c r="O40" s="41"/>
      <c r="P40" s="41">
        <f>4.21496+2.9</f>
        <v>7.11496</v>
      </c>
      <c r="Q40" s="41">
        <f>4.21496+2.9</f>
        <v>7.11496</v>
      </c>
      <c r="R40" s="41"/>
      <c r="S40" s="41"/>
      <c r="T40" s="41"/>
      <c r="U40" s="41"/>
      <c r="V40" s="41"/>
      <c r="W40" s="41"/>
    </row>
    <row r="41" spans="2:23" x14ac:dyDescent="0.3">
      <c r="D41" s="58"/>
      <c r="F41" s="47"/>
      <c r="M41"/>
      <c r="O41" s="41"/>
      <c r="P41" s="41">
        <f>SUM(P39+P40)</f>
        <v>8.9649599999999996</v>
      </c>
      <c r="Q41" s="41">
        <f>SUM(Q39+Q40)</f>
        <v>8.86496</v>
      </c>
      <c r="R41" s="41"/>
      <c r="S41" s="41"/>
      <c r="T41" s="41"/>
      <c r="U41" s="41"/>
      <c r="V41" s="41"/>
      <c r="W41" s="41"/>
    </row>
    <row r="42" spans="2:23" x14ac:dyDescent="0.3">
      <c r="P42">
        <f>P41*4</f>
        <v>35.859839999999998</v>
      </c>
      <c r="Q42">
        <f>Q41*4</f>
        <v>35.45984</v>
      </c>
    </row>
    <row r="43" spans="2:23" x14ac:dyDescent="0.3">
      <c r="D43" t="s">
        <v>41</v>
      </c>
    </row>
    <row r="44" spans="2:23" x14ac:dyDescent="0.3">
      <c r="D44" t="s">
        <v>42</v>
      </c>
    </row>
    <row r="45" spans="2:23" x14ac:dyDescent="0.3">
      <c r="D45" t="s">
        <v>43</v>
      </c>
    </row>
    <row r="46" spans="2:23" x14ac:dyDescent="0.3">
      <c r="D46" s="24" t="s">
        <v>44</v>
      </c>
      <c r="E46" s="24">
        <v>8.0000000000000002E-3</v>
      </c>
      <c r="F46" s="60"/>
    </row>
    <row r="47" spans="2:23" x14ac:dyDescent="0.3">
      <c r="D47" s="24" t="s">
        <v>45</v>
      </c>
      <c r="E47" s="24">
        <v>8.0000000000000002E-3</v>
      </c>
    </row>
    <row r="48" spans="2:23" x14ac:dyDescent="0.3">
      <c r="D48" s="24" t="s">
        <v>46</v>
      </c>
      <c r="E48" s="24">
        <v>8.0000000000000002E-3</v>
      </c>
    </row>
    <row r="49" spans="4:5" x14ac:dyDescent="0.3">
      <c r="D49" s="24" t="s">
        <v>47</v>
      </c>
      <c r="E49" s="24">
        <v>8.0000000000000002E-3</v>
      </c>
    </row>
    <row r="51" spans="4:5" x14ac:dyDescent="0.3">
      <c r="D51" t="s">
        <v>50</v>
      </c>
    </row>
    <row r="52" spans="4:5" x14ac:dyDescent="0.3">
      <c r="D52" s="24" t="s">
        <v>44</v>
      </c>
      <c r="E52" s="24">
        <v>6.4999999999999997E-3</v>
      </c>
    </row>
    <row r="53" spans="4:5" x14ac:dyDescent="0.3">
      <c r="D53" s="24" t="s">
        <v>45</v>
      </c>
      <c r="E53" s="24">
        <v>7.4999999999999997E-3</v>
      </c>
    </row>
    <row r="54" spans="4:5" x14ac:dyDescent="0.3">
      <c r="D54" s="24" t="s">
        <v>46</v>
      </c>
      <c r="E54" s="24">
        <v>8.0000000000000002E-3</v>
      </c>
    </row>
    <row r="55" spans="4:5" x14ac:dyDescent="0.3">
      <c r="D55" s="24" t="s">
        <v>47</v>
      </c>
      <c r="E55" s="24">
        <v>1.2500000000000001E-2</v>
      </c>
    </row>
  </sheetData>
  <sheetProtection selectLockedCells="1" selectUnlockedCells="1"/>
  <mergeCells count="55">
    <mergeCell ref="D10:D13"/>
    <mergeCell ref="E10:F10"/>
    <mergeCell ref="H10:J10"/>
    <mergeCell ref="H31:M40"/>
    <mergeCell ref="E32:F32"/>
    <mergeCell ref="E23:F23"/>
    <mergeCell ref="H23:J23"/>
    <mergeCell ref="D24:D30"/>
    <mergeCell ref="H24:J24"/>
    <mergeCell ref="H25:J25"/>
    <mergeCell ref="H26:J26"/>
    <mergeCell ref="H27:J27"/>
    <mergeCell ref="H28:J28"/>
    <mergeCell ref="H30:M30"/>
    <mergeCell ref="E15:F15"/>
    <mergeCell ref="H15:J15"/>
    <mergeCell ref="D16:D21"/>
    <mergeCell ref="H16:J16"/>
    <mergeCell ref="H17:J17"/>
    <mergeCell ref="H18:J18"/>
    <mergeCell ref="H19:J19"/>
    <mergeCell ref="H20:J20"/>
    <mergeCell ref="H21:J21"/>
    <mergeCell ref="H9:J9"/>
    <mergeCell ref="Q9:S9"/>
    <mergeCell ref="P10:P17"/>
    <mergeCell ref="U10:X10"/>
    <mergeCell ref="H11:J11"/>
    <mergeCell ref="Q11:Q17"/>
    <mergeCell ref="U11:W11"/>
    <mergeCell ref="H12:J12"/>
    <mergeCell ref="U12:W12"/>
    <mergeCell ref="H13:J13"/>
    <mergeCell ref="R6:S6"/>
    <mergeCell ref="W6:X6"/>
    <mergeCell ref="R7:S7"/>
    <mergeCell ref="W7:X7"/>
    <mergeCell ref="H8:J8"/>
    <mergeCell ref="R8:S8"/>
    <mergeCell ref="D2:M2"/>
    <mergeCell ref="P2:X2"/>
    <mergeCell ref="D4:D8"/>
    <mergeCell ref="E4:F4"/>
    <mergeCell ref="I4:M4"/>
    <mergeCell ref="P4:P8"/>
    <mergeCell ref="Q4:S4"/>
    <mergeCell ref="U4:U7"/>
    <mergeCell ref="V4:X4"/>
    <mergeCell ref="H5:H6"/>
    <mergeCell ref="I5:K5"/>
    <mergeCell ref="L5:M5"/>
    <mergeCell ref="R5:S5"/>
    <mergeCell ref="W5:X5"/>
    <mergeCell ref="I6:K6"/>
    <mergeCell ref="L6:M6"/>
  </mergeCells>
  <phoneticPr fontId="1" type="noConversion"/>
  <conditionalFormatting sqref="K27:K28">
    <cfRule type="cellIs" dxfId="1" priority="1" operator="lessThan">
      <formula>0</formula>
    </cfRule>
  </conditionalFormatting>
  <dataValidations count="5">
    <dataValidation type="list" allowBlank="1" showInputMessage="1" showErrorMessage="1" sqref="R7 B33:B41 B31 W6" xr:uid="{DD02964A-A4E0-4599-9F1F-9C2AEF4535C8}">
      <formula1>$B$31:$B$34</formula1>
    </dataValidation>
    <dataValidation type="list" allowBlank="1" showInputMessage="1" showErrorMessage="1" sqref="R8" xr:uid="{339C456C-C2AE-46B9-8826-A9B89696B3E6}">
      <formula1>$B$6:$B$11</formula1>
    </dataValidation>
    <dataValidation type="list" allowBlank="1" showInputMessage="1" showErrorMessage="1" sqref="W7" xr:uid="{61398D9B-A416-4349-A89A-FEE64F02EEB2}">
      <formula1>$B$5:$B$11</formula1>
    </dataValidation>
    <dataValidation type="list" allowBlank="1" showInputMessage="1" showErrorMessage="1" sqref="A12:A19" xr:uid="{A3E1C538-5F51-4B7F-8634-8C4057D45FDE}">
      <formula1>$A$13:$A$19</formula1>
    </dataValidation>
    <dataValidation type="list" allowBlank="1" showInputMessage="1" showErrorMessage="1" sqref="C14:C19" xr:uid="{10A8FA2A-AA95-4408-8E4F-9805BBF6B223}">
      <formula1>$B$13:$B$19</formula1>
    </dataValidation>
  </dataValidations>
  <pageMargins left="0.25" right="0.25" top="0.75" bottom="0.75" header="0.3" footer="0.3"/>
  <pageSetup paperSize="9"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0FF9-D0A6-4DE8-8D17-3481657979B1}">
  <sheetPr>
    <pageSetUpPr fitToPage="1"/>
  </sheetPr>
  <dimension ref="B1:F21"/>
  <sheetViews>
    <sheetView zoomScaleNormal="100" workbookViewId="0">
      <selection activeCell="H10" sqref="H10"/>
    </sheetView>
  </sheetViews>
  <sheetFormatPr defaultRowHeight="16.5" x14ac:dyDescent="0.3"/>
  <cols>
    <col min="1" max="1" width="3.75" customWidth="1"/>
    <col min="2" max="2" width="24.5" customWidth="1"/>
    <col min="3" max="6" width="17.625" customWidth="1"/>
  </cols>
  <sheetData>
    <row r="1" spans="2:6" x14ac:dyDescent="0.3">
      <c r="B1" s="108" t="s">
        <v>77</v>
      </c>
    </row>
    <row r="2" spans="2:6" x14ac:dyDescent="0.3">
      <c r="B2" s="207" t="s">
        <v>79</v>
      </c>
      <c r="C2" s="207"/>
      <c r="D2" s="207"/>
      <c r="E2" s="207"/>
      <c r="F2" s="207"/>
    </row>
    <row r="3" spans="2:6" x14ac:dyDescent="0.3">
      <c r="B3" s="112" t="s">
        <v>78</v>
      </c>
      <c r="C3" s="115">
        <v>0.02</v>
      </c>
      <c r="D3" s="118">
        <v>1.7999999999999999E-2</v>
      </c>
      <c r="E3" s="114">
        <v>1.7000000000000001E-2</v>
      </c>
      <c r="F3" s="114">
        <v>1.6E-2</v>
      </c>
    </row>
    <row r="4" spans="2:6" x14ac:dyDescent="0.3">
      <c r="B4" s="113" t="s">
        <v>76</v>
      </c>
      <c r="C4" s="116">
        <v>1046070.89</v>
      </c>
      <c r="D4" s="119">
        <v>1043341.11</v>
      </c>
      <c r="E4" s="109">
        <v>1042994.21</v>
      </c>
      <c r="F4" s="109">
        <v>1041968.66</v>
      </c>
    </row>
    <row r="5" spans="2:6" x14ac:dyDescent="0.3">
      <c r="B5" s="113" t="s">
        <v>35</v>
      </c>
      <c r="C5" s="117">
        <v>3.9600000000000003E-2</v>
      </c>
      <c r="D5" s="120">
        <v>3.7100000000000001E-2</v>
      </c>
      <c r="E5" s="110">
        <v>3.1300000000000001E-2</v>
      </c>
      <c r="F5" s="110">
        <v>3.04E-2</v>
      </c>
    </row>
    <row r="6" spans="2:6" x14ac:dyDescent="0.3">
      <c r="B6" s="113" t="s">
        <v>37</v>
      </c>
      <c r="C6" s="117">
        <v>2.47E-2</v>
      </c>
      <c r="D6" s="120">
        <v>2.2200000000000001E-2</v>
      </c>
      <c r="E6" s="110">
        <v>1.6400000000000001E-2</v>
      </c>
      <c r="F6" s="110">
        <v>1.55E-2</v>
      </c>
    </row>
    <row r="7" spans="2:6" x14ac:dyDescent="0.3">
      <c r="B7" s="113" t="s">
        <v>82</v>
      </c>
      <c r="C7" s="116">
        <f>C4*1%</f>
        <v>10460.7089</v>
      </c>
      <c r="D7" s="121">
        <f>(C4-D4)/C7</f>
        <v>0.26095554575656227</v>
      </c>
      <c r="E7" s="111">
        <f>(C4-E4)/C7</f>
        <v>0.29411773421971921</v>
      </c>
      <c r="F7" s="111">
        <f>(C4-F4)/C7</f>
        <v>0.39215602300146041</v>
      </c>
    </row>
    <row r="9" spans="2:6" x14ac:dyDescent="0.3">
      <c r="B9" s="207" t="s">
        <v>80</v>
      </c>
      <c r="C9" s="207"/>
      <c r="D9" s="207"/>
      <c r="E9" s="207"/>
      <c r="F9" s="207"/>
    </row>
    <row r="10" spans="2:6" x14ac:dyDescent="0.3">
      <c r="B10" s="112" t="s">
        <v>78</v>
      </c>
      <c r="C10" s="115">
        <v>2.1999999999999999E-2</v>
      </c>
      <c r="D10" s="114">
        <v>0.02</v>
      </c>
      <c r="E10" s="118">
        <v>1.9E-2</v>
      </c>
      <c r="F10" s="114">
        <v>1.7999999999999999E-2</v>
      </c>
    </row>
    <row r="11" spans="2:6" x14ac:dyDescent="0.3">
      <c r="B11" s="113" t="s">
        <v>76</v>
      </c>
      <c r="C11" s="116">
        <v>1054652.52</v>
      </c>
      <c r="D11" s="109">
        <v>1052588.6200000001</v>
      </c>
      <c r="E11" s="119">
        <v>1050707.5</v>
      </c>
      <c r="F11" s="109">
        <v>1050524.72</v>
      </c>
    </row>
    <row r="12" spans="2:6" x14ac:dyDescent="0.3">
      <c r="B12" s="113" t="s">
        <v>35</v>
      </c>
      <c r="C12" s="117">
        <v>4.6699999999999998E-2</v>
      </c>
      <c r="D12" s="110">
        <v>3.8199999999999998E-2</v>
      </c>
      <c r="E12" s="120">
        <v>4.3200000000000002E-2</v>
      </c>
      <c r="F12" s="110">
        <v>3.6400000000000002E-2</v>
      </c>
    </row>
    <row r="13" spans="2:6" x14ac:dyDescent="0.3">
      <c r="B13" s="113" t="s">
        <v>37</v>
      </c>
      <c r="C13" s="117">
        <v>2.81E-2</v>
      </c>
      <c r="D13" s="110">
        <v>1.9599999999999999E-2</v>
      </c>
      <c r="E13" s="120">
        <v>2.46E-2</v>
      </c>
      <c r="F13" s="110">
        <v>1.78E-2</v>
      </c>
    </row>
    <row r="14" spans="2:6" x14ac:dyDescent="0.3">
      <c r="B14" s="113" t="s">
        <v>82</v>
      </c>
      <c r="C14" s="116">
        <f>C11*1%</f>
        <v>10546.5252</v>
      </c>
      <c r="D14" s="111">
        <f>(C11-D11)/C14</f>
        <v>0.19569478675307264</v>
      </c>
      <c r="E14" s="121">
        <f>(C11-E11)/C14</f>
        <v>0.37405874685626489</v>
      </c>
      <c r="F14" s="111">
        <f>(C11-F11)/C14</f>
        <v>0.39138957350616738</v>
      </c>
    </row>
    <row r="16" spans="2:6" x14ac:dyDescent="0.3">
      <c r="B16" s="207" t="s">
        <v>81</v>
      </c>
      <c r="C16" s="207"/>
      <c r="D16" s="207"/>
      <c r="E16" s="207"/>
      <c r="F16" s="207"/>
    </row>
    <row r="17" spans="2:6" x14ac:dyDescent="0.3">
      <c r="B17" s="112" t="s">
        <v>78</v>
      </c>
      <c r="C17" s="115">
        <v>2.4E-2</v>
      </c>
      <c r="D17" s="114">
        <v>2.1999999999999999E-2</v>
      </c>
      <c r="E17" s="114">
        <v>2.1000000000000001E-2</v>
      </c>
      <c r="F17" s="114">
        <v>0.02</v>
      </c>
    </row>
    <row r="18" spans="2:6" x14ac:dyDescent="0.3">
      <c r="B18" s="113" t="s">
        <v>76</v>
      </c>
      <c r="C18" s="116">
        <v>1063259.7</v>
      </c>
      <c r="D18" s="109">
        <v>1061183.02</v>
      </c>
      <c r="E18" s="109">
        <v>1060144.68</v>
      </c>
      <c r="F18" s="109">
        <v>1059106.3400000001</v>
      </c>
    </row>
    <row r="19" spans="2:6" x14ac:dyDescent="0.3">
      <c r="B19" s="113" t="s">
        <v>35</v>
      </c>
      <c r="C19" s="117">
        <v>4.6199999999999998E-2</v>
      </c>
      <c r="D19" s="110">
        <v>4.4299999999999999E-2</v>
      </c>
      <c r="E19" s="110">
        <v>4.3400000000000001E-2</v>
      </c>
      <c r="F19" s="110">
        <v>4.2500000000000003E-2</v>
      </c>
    </row>
    <row r="20" spans="2:6" x14ac:dyDescent="0.3">
      <c r="B20" s="113" t="s">
        <v>37</v>
      </c>
      <c r="C20" s="117">
        <v>2.3900000000000001E-2</v>
      </c>
      <c r="D20" s="110">
        <v>2.1999999999999999E-2</v>
      </c>
      <c r="E20" s="110">
        <v>2.1100000000000001E-2</v>
      </c>
      <c r="F20" s="110">
        <v>2.0199999999999999E-2</v>
      </c>
    </row>
    <row r="21" spans="2:6" x14ac:dyDescent="0.3">
      <c r="B21" s="113" t="s">
        <v>82</v>
      </c>
      <c r="C21" s="116">
        <f>C18*1%</f>
        <v>10632.597</v>
      </c>
      <c r="D21" s="111">
        <f>(C18-D18)/C21</f>
        <v>0.19531258449840005</v>
      </c>
      <c r="E21" s="111">
        <f>(C18-E18)/C21</f>
        <v>0.29296887674761102</v>
      </c>
      <c r="F21" s="111">
        <f>(C18-F18)/C21</f>
        <v>0.39062516899680011</v>
      </c>
    </row>
  </sheetData>
  <mergeCells count="3">
    <mergeCell ref="B2:F2"/>
    <mergeCell ref="B9:F9"/>
    <mergeCell ref="B16:F16"/>
  </mergeCells>
  <phoneticPr fontId="1" type="noConversion"/>
  <printOptions horizontalCentered="1"/>
  <pageMargins left="0.98425196850393704" right="0.98425196850393704" top="0.98425196850393704" bottom="0.98425196850393704" header="0.51181102362204722" footer="0.51181102362204722"/>
  <pageSetup paperSize="9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A29C-9379-4F72-8482-1C2572C4A9F3}">
  <sheetPr>
    <pageSetUpPr fitToPage="1"/>
  </sheetPr>
  <dimension ref="A1:Y55"/>
  <sheetViews>
    <sheetView tabSelected="1" view="pageBreakPreview" topLeftCell="C2" zoomScale="85" zoomScaleNormal="55" zoomScaleSheetLayoutView="85" workbookViewId="0">
      <selection activeCell="U24" sqref="U24"/>
    </sheetView>
  </sheetViews>
  <sheetFormatPr defaultRowHeight="16.5" x14ac:dyDescent="0.3"/>
  <cols>
    <col min="1" max="2" width="9" customWidth="1"/>
    <col min="3" max="3" width="3.625" customWidth="1"/>
    <col min="4" max="4" width="10.5" customWidth="1"/>
    <col min="5" max="6" width="18.625" customWidth="1"/>
    <col min="7" max="7" width="2.75" customWidth="1"/>
    <col min="8" max="8" width="9" customWidth="1"/>
    <col min="9" max="9" width="10.625" customWidth="1"/>
    <col min="10" max="10" width="11.75" customWidth="1"/>
    <col min="11" max="11" width="14.125" customWidth="1"/>
    <col min="12" max="12" width="15.5" bestFit="1" customWidth="1"/>
    <col min="13" max="13" width="56" style="1" customWidth="1"/>
    <col min="14" max="14" width="3.625" customWidth="1"/>
    <col min="15" max="15" width="2.625" customWidth="1"/>
    <col min="16" max="16" width="11.5" customWidth="1"/>
    <col min="17" max="17" width="9" customWidth="1"/>
  </cols>
  <sheetData>
    <row r="1" spans="1:25" ht="17.25" thickBot="1" x14ac:dyDescent="0.35"/>
    <row r="2" spans="1:25" ht="42" customHeight="1" thickBot="1" x14ac:dyDescent="0.35">
      <c r="D2" s="127" t="s">
        <v>75</v>
      </c>
      <c r="E2" s="127"/>
      <c r="F2" s="127"/>
      <c r="G2" s="127"/>
      <c r="H2" s="127"/>
      <c r="I2" s="127"/>
      <c r="J2" s="127"/>
      <c r="K2" s="127"/>
      <c r="L2" s="127"/>
      <c r="M2" s="128"/>
      <c r="P2" s="129" t="s">
        <v>54</v>
      </c>
      <c r="Q2" s="130"/>
      <c r="R2" s="130"/>
      <c r="S2" s="130"/>
      <c r="T2" s="130"/>
      <c r="U2" s="130"/>
      <c r="V2" s="130"/>
      <c r="W2" s="130"/>
      <c r="X2" s="131"/>
    </row>
    <row r="3" spans="1:25" ht="17.25" thickBot="1" x14ac:dyDescent="0.35">
      <c r="P3" s="87"/>
      <c r="X3" s="86"/>
    </row>
    <row r="4" spans="1:25" ht="17.25" thickBot="1" x14ac:dyDescent="0.35">
      <c r="D4" s="132" t="s">
        <v>1</v>
      </c>
      <c r="E4" s="135" t="str">
        <f>Q4</f>
        <v>Double Q</v>
      </c>
      <c r="F4" s="136"/>
      <c r="H4" s="9" t="s">
        <v>2</v>
      </c>
      <c r="I4" s="137" t="s">
        <v>90</v>
      </c>
      <c r="J4" s="138"/>
      <c r="K4" s="138"/>
      <c r="L4" s="138"/>
      <c r="M4" s="136"/>
      <c r="P4" s="132" t="s">
        <v>1</v>
      </c>
      <c r="Q4" s="139" t="s">
        <v>95</v>
      </c>
      <c r="R4" s="140"/>
      <c r="S4" s="141"/>
      <c r="U4" s="132" t="s">
        <v>15</v>
      </c>
      <c r="V4" s="142" t="s">
        <v>97</v>
      </c>
      <c r="W4" s="140"/>
      <c r="X4" s="141"/>
    </row>
    <row r="5" spans="1:25" ht="17.25" thickBot="1" x14ac:dyDescent="0.35">
      <c r="B5">
        <v>0</v>
      </c>
      <c r="D5" s="133"/>
      <c r="E5" s="26" t="s">
        <v>3</v>
      </c>
      <c r="F5" s="5" t="str">
        <f>R5</f>
        <v>F</v>
      </c>
      <c r="H5" s="143" t="s">
        <v>53</v>
      </c>
      <c r="I5" s="145" t="s">
        <v>4</v>
      </c>
      <c r="J5" s="146"/>
      <c r="K5" s="147"/>
      <c r="L5" s="148">
        <v>1.7999999999999999E-2</v>
      </c>
      <c r="M5" s="149"/>
      <c r="P5" s="133"/>
      <c r="Q5" s="83" t="s">
        <v>3</v>
      </c>
      <c r="R5" s="150" t="s">
        <v>65</v>
      </c>
      <c r="S5" s="151"/>
      <c r="U5" s="133"/>
      <c r="V5" s="83" t="s">
        <v>5</v>
      </c>
      <c r="W5" s="129" t="s">
        <v>96</v>
      </c>
      <c r="X5" s="131"/>
      <c r="Y5" t="s">
        <v>70</v>
      </c>
    </row>
    <row r="6" spans="1:25" ht="17.25" thickBot="1" x14ac:dyDescent="0.35">
      <c r="B6">
        <v>30</v>
      </c>
      <c r="D6" s="133"/>
      <c r="E6" s="26" t="s">
        <v>5</v>
      </c>
      <c r="F6" s="5" t="str">
        <f>R6</f>
        <v>CIF</v>
      </c>
      <c r="H6" s="144"/>
      <c r="I6" s="152" t="s">
        <v>60</v>
      </c>
      <c r="J6" s="153"/>
      <c r="K6" s="153"/>
      <c r="L6" s="154">
        <v>0.03</v>
      </c>
      <c r="M6" s="155"/>
      <c r="P6" s="133"/>
      <c r="Q6" s="83" t="s">
        <v>5</v>
      </c>
      <c r="R6" s="129" t="s">
        <v>96</v>
      </c>
      <c r="S6" s="131"/>
      <c r="U6" s="133"/>
      <c r="V6" s="83" t="s">
        <v>6</v>
      </c>
      <c r="W6" s="129" t="s">
        <v>40</v>
      </c>
      <c r="X6" s="131"/>
    </row>
    <row r="7" spans="1:25" ht="17.25" thickBot="1" x14ac:dyDescent="0.35">
      <c r="B7">
        <v>60</v>
      </c>
      <c r="D7" s="133"/>
      <c r="E7" s="26" t="s">
        <v>6</v>
      </c>
      <c r="F7" s="80" t="str">
        <f>R7</f>
        <v>D/A</v>
      </c>
      <c r="I7" s="43"/>
      <c r="P7" s="133"/>
      <c r="Q7" s="83" t="s">
        <v>6</v>
      </c>
      <c r="R7" s="129" t="s">
        <v>49</v>
      </c>
      <c r="S7" s="131"/>
      <c r="U7" s="134"/>
      <c r="V7" s="84" t="s">
        <v>8</v>
      </c>
      <c r="W7" s="156">
        <v>90</v>
      </c>
      <c r="X7" s="157"/>
      <c r="Y7" t="s">
        <v>71</v>
      </c>
    </row>
    <row r="8" spans="1:25" ht="17.25" customHeight="1" thickBot="1" x14ac:dyDescent="0.35">
      <c r="B8">
        <v>90</v>
      </c>
      <c r="D8" s="134"/>
      <c r="E8" s="26" t="s">
        <v>8</v>
      </c>
      <c r="F8" s="82">
        <f>R8</f>
        <v>180</v>
      </c>
      <c r="H8" s="152" t="s">
        <v>9</v>
      </c>
      <c r="I8" s="153"/>
      <c r="J8" s="153"/>
      <c r="K8" s="9" t="s">
        <v>10</v>
      </c>
      <c r="L8" s="40" t="s">
        <v>11</v>
      </c>
      <c r="M8" s="7" t="s">
        <v>12</v>
      </c>
      <c r="O8" s="46"/>
      <c r="P8" s="134"/>
      <c r="Q8" s="84" t="s">
        <v>8</v>
      </c>
      <c r="R8" s="156">
        <v>180</v>
      </c>
      <c r="S8" s="157"/>
      <c r="X8" s="86"/>
    </row>
    <row r="9" spans="1:25" ht="17.25" thickBot="1" x14ac:dyDescent="0.35">
      <c r="B9">
        <v>120</v>
      </c>
      <c r="H9" s="158" t="s">
        <v>14</v>
      </c>
      <c r="I9" s="159"/>
      <c r="J9" s="159"/>
      <c r="K9" s="54">
        <v>1000000</v>
      </c>
      <c r="L9" s="44">
        <f>K9/$K$24</f>
        <v>0.95062486758983888</v>
      </c>
      <c r="M9" s="15" t="s">
        <v>68</v>
      </c>
      <c r="P9" s="91"/>
      <c r="Q9" s="160"/>
      <c r="R9" s="160"/>
      <c r="S9" s="160"/>
      <c r="X9" s="86"/>
    </row>
    <row r="10" spans="1:25" ht="18" thickTop="1" thickBot="1" x14ac:dyDescent="0.35">
      <c r="B10">
        <v>150</v>
      </c>
      <c r="D10" s="132" t="s">
        <v>15</v>
      </c>
      <c r="E10" s="135" t="str">
        <f>V4</f>
        <v>SINOTRUK</v>
      </c>
      <c r="F10" s="136"/>
      <c r="H10" s="167" t="s">
        <v>16</v>
      </c>
      <c r="I10" s="168"/>
      <c r="J10" s="168"/>
      <c r="K10" s="50">
        <v>0</v>
      </c>
      <c r="L10" s="20">
        <f t="shared" ref="L10:L19" si="0">K10/$K$24</f>
        <v>0</v>
      </c>
      <c r="M10" s="6" t="s">
        <v>17</v>
      </c>
      <c r="P10" s="161" t="s">
        <v>59</v>
      </c>
      <c r="Q10" s="49" t="s">
        <v>31</v>
      </c>
      <c r="R10" s="78" t="s">
        <v>0</v>
      </c>
      <c r="S10" s="79" t="s">
        <v>52</v>
      </c>
      <c r="U10" s="164" t="s">
        <v>53</v>
      </c>
      <c r="V10" s="165"/>
      <c r="W10" s="165"/>
      <c r="X10" s="166"/>
    </row>
    <row r="11" spans="1:25" ht="17.25" thickBot="1" x14ac:dyDescent="0.35">
      <c r="B11">
        <v>180</v>
      </c>
      <c r="D11" s="133"/>
      <c r="E11" s="26" t="s">
        <v>5</v>
      </c>
      <c r="F11" s="5" t="str">
        <f>W5</f>
        <v>CIF</v>
      </c>
      <c r="H11" s="167" t="s">
        <v>18</v>
      </c>
      <c r="I11" s="168"/>
      <c r="J11" s="168"/>
      <c r="K11" s="50">
        <v>0</v>
      </c>
      <c r="L11" s="20">
        <f t="shared" si="0"/>
        <v>0</v>
      </c>
      <c r="M11" s="6" t="s">
        <v>17</v>
      </c>
      <c r="P11" s="162"/>
      <c r="Q11" s="169">
        <v>46255</v>
      </c>
      <c r="R11" s="10">
        <v>30</v>
      </c>
      <c r="S11" s="92">
        <v>3.65872E-2</v>
      </c>
      <c r="U11" s="137" t="s">
        <v>4</v>
      </c>
      <c r="V11" s="138"/>
      <c r="W11" s="138"/>
      <c r="X11" s="97">
        <v>2.4E-2</v>
      </c>
    </row>
    <row r="12" spans="1:25" ht="17.25" thickBot="1" x14ac:dyDescent="0.35">
      <c r="B12">
        <v>1</v>
      </c>
      <c r="D12" s="133"/>
      <c r="E12" s="26" t="s">
        <v>6</v>
      </c>
      <c r="F12" s="85" t="str">
        <f>W6</f>
        <v>L/C</v>
      </c>
      <c r="G12" s="3"/>
      <c r="H12" s="167" t="s">
        <v>19</v>
      </c>
      <c r="I12" s="168"/>
      <c r="J12" s="168"/>
      <c r="K12" s="50">
        <v>0</v>
      </c>
      <c r="L12" s="20">
        <f t="shared" si="0"/>
        <v>0</v>
      </c>
      <c r="M12" s="6"/>
      <c r="O12" s="41"/>
      <c r="P12" s="162"/>
      <c r="Q12" s="170"/>
      <c r="R12" s="59">
        <v>60</v>
      </c>
      <c r="S12" s="93">
        <v>3.7406399999999999E-2</v>
      </c>
      <c r="U12" s="172" t="s">
        <v>60</v>
      </c>
      <c r="V12" s="173"/>
      <c r="W12" s="173"/>
      <c r="X12" s="98">
        <v>0.04</v>
      </c>
    </row>
    <row r="13" spans="1:25" ht="17.25" thickBot="1" x14ac:dyDescent="0.35">
      <c r="A13" s="28"/>
      <c r="B13">
        <v>2</v>
      </c>
      <c r="D13" s="134"/>
      <c r="E13" s="26" t="s">
        <v>8</v>
      </c>
      <c r="F13" s="81">
        <f>W7</f>
        <v>90</v>
      </c>
      <c r="G13" s="2"/>
      <c r="H13" s="167" t="s">
        <v>20</v>
      </c>
      <c r="I13" s="168"/>
      <c r="J13" s="168"/>
      <c r="K13" s="99">
        <f>K24*0.2%*0.85</f>
        <v>1788.2974219999999</v>
      </c>
      <c r="L13" s="20">
        <f>K13/$K$24</f>
        <v>1.6999999999999999E-3</v>
      </c>
      <c r="M13" s="8" t="s">
        <v>83</v>
      </c>
      <c r="O13" s="41"/>
      <c r="P13" s="162"/>
      <c r="Q13" s="170"/>
      <c r="R13" s="11">
        <v>90</v>
      </c>
      <c r="S13" s="93">
        <v>3.7406399999999999E-2</v>
      </c>
      <c r="U13" t="s">
        <v>69</v>
      </c>
      <c r="X13" s="86"/>
    </row>
    <row r="14" spans="1:25" ht="17.25" thickBot="1" x14ac:dyDescent="0.35">
      <c r="A14" s="29"/>
      <c r="B14">
        <v>3</v>
      </c>
      <c r="G14" s="2"/>
      <c r="H14" s="18" t="s">
        <v>21</v>
      </c>
      <c r="I14" s="19"/>
      <c r="J14" s="19"/>
      <c r="K14" s="50">
        <f>IF(F12="L/C",K9*0.3%*F13/360,0)</f>
        <v>750</v>
      </c>
      <c r="L14" s="20">
        <f>K14/$K$24</f>
        <v>7.1296865069237912E-4</v>
      </c>
      <c r="M14" s="77" t="s">
        <v>51</v>
      </c>
      <c r="O14" s="41"/>
      <c r="P14" s="162"/>
      <c r="Q14" s="170"/>
      <c r="R14" s="11">
        <v>120</v>
      </c>
      <c r="S14" s="94">
        <v>3.6679099999999999E-2</v>
      </c>
      <c r="X14" s="86"/>
    </row>
    <row r="15" spans="1:25" ht="16.5" customHeight="1" thickBot="1" x14ac:dyDescent="0.35">
      <c r="A15" s="30"/>
      <c r="B15">
        <v>4</v>
      </c>
      <c r="D15" s="49" t="s">
        <v>73</v>
      </c>
      <c r="E15" s="174" t="s">
        <v>67</v>
      </c>
      <c r="F15" s="175"/>
      <c r="G15" s="2"/>
      <c r="H15" s="167" t="s">
        <v>22</v>
      </c>
      <c r="I15" s="168"/>
      <c r="J15" s="176"/>
      <c r="K15" s="50">
        <v>0</v>
      </c>
      <c r="L15" s="20">
        <f t="shared" si="0"/>
        <v>0</v>
      </c>
      <c r="M15" s="8"/>
      <c r="O15" s="41"/>
      <c r="P15" s="162"/>
      <c r="Q15" s="170"/>
      <c r="R15" s="11">
        <v>150</v>
      </c>
      <c r="S15" s="94">
        <v>3.6679099999999999E-2</v>
      </c>
      <c r="X15" s="86"/>
    </row>
    <row r="16" spans="1:25" x14ac:dyDescent="0.3">
      <c r="A16" s="31"/>
      <c r="B16">
        <v>5</v>
      </c>
      <c r="D16" s="177" t="s">
        <v>84</v>
      </c>
      <c r="E16" s="10">
        <v>30</v>
      </c>
      <c r="F16" s="27">
        <v>2.3E-3</v>
      </c>
      <c r="G16" s="2"/>
      <c r="H16" s="167" t="s">
        <v>23</v>
      </c>
      <c r="I16" s="168"/>
      <c r="J16" s="176"/>
      <c r="K16" s="50">
        <f>K24*0.02%</f>
        <v>210.38793200000001</v>
      </c>
      <c r="L16" s="20">
        <f t="shared" si="0"/>
        <v>2.0000000000000001E-4</v>
      </c>
      <c r="M16" s="6" t="s">
        <v>57</v>
      </c>
      <c r="O16" s="41"/>
      <c r="P16" s="162"/>
      <c r="Q16" s="170"/>
      <c r="R16" s="11">
        <v>180</v>
      </c>
      <c r="S16" s="94">
        <v>3.8440099999999998E-2</v>
      </c>
      <c r="X16" s="86"/>
    </row>
    <row r="17" spans="1:24" ht="17.25" thickBot="1" x14ac:dyDescent="0.35">
      <c r="A17" s="32"/>
      <c r="B17">
        <v>6</v>
      </c>
      <c r="D17" s="177"/>
      <c r="E17" s="11">
        <v>60</v>
      </c>
      <c r="F17" s="45">
        <v>2.8E-3</v>
      </c>
      <c r="G17" s="2"/>
      <c r="H17" s="179" t="s">
        <v>24</v>
      </c>
      <c r="I17" s="180"/>
      <c r="J17" s="181"/>
      <c r="K17" s="50">
        <v>0</v>
      </c>
      <c r="L17" s="20">
        <f t="shared" si="0"/>
        <v>0</v>
      </c>
      <c r="M17" s="6" t="s">
        <v>25</v>
      </c>
      <c r="O17" s="41"/>
      <c r="P17" s="163"/>
      <c r="Q17" s="171"/>
      <c r="R17" s="12">
        <v>360</v>
      </c>
      <c r="S17" s="95">
        <v>3.9883399999999999E-2</v>
      </c>
      <c r="X17" s="86"/>
    </row>
    <row r="18" spans="1:24" ht="17.25" thickBot="1" x14ac:dyDescent="0.35">
      <c r="A18" s="33"/>
      <c r="B18">
        <v>7</v>
      </c>
      <c r="D18" s="177"/>
      <c r="E18" s="11">
        <v>90</v>
      </c>
      <c r="F18" s="100">
        <v>3.3E-3</v>
      </c>
      <c r="G18" s="2"/>
      <c r="H18" s="182" t="s">
        <v>26</v>
      </c>
      <c r="I18" s="183"/>
      <c r="J18" s="184"/>
      <c r="K18" s="51">
        <f>SUM(K10:K17)</f>
        <v>2748.6853539999997</v>
      </c>
      <c r="L18" s="21">
        <f>K18/$K$24</f>
        <v>2.6129686506923791E-3</v>
      </c>
      <c r="M18" s="17"/>
      <c r="O18" s="41"/>
      <c r="P18" s="87" t="s">
        <v>55</v>
      </c>
      <c r="X18" s="86"/>
    </row>
    <row r="19" spans="1:24" ht="17.25" customHeight="1" thickTop="1" thickBot="1" x14ac:dyDescent="0.35">
      <c r="A19" s="34"/>
      <c r="D19" s="177"/>
      <c r="E19" s="11">
        <v>120</v>
      </c>
      <c r="F19" s="105">
        <v>4.1000000000000003E-3</v>
      </c>
      <c r="G19" s="2"/>
      <c r="H19" s="185" t="s">
        <v>27</v>
      </c>
      <c r="I19" s="186"/>
      <c r="J19" s="187"/>
      <c r="K19" s="52">
        <f>K24*VLOOKUP(F8,D34:F40,3,FALSE)*F8/360</f>
        <v>24426.091502182997</v>
      </c>
      <c r="L19" s="20">
        <f t="shared" si="0"/>
        <v>2.3220049999999999E-2</v>
      </c>
      <c r="M19" s="8" t="s">
        <v>28</v>
      </c>
      <c r="O19" s="41"/>
      <c r="P19" s="88"/>
      <c r="Q19" s="89"/>
      <c r="R19" s="89"/>
      <c r="S19" s="89"/>
      <c r="T19" s="89"/>
      <c r="U19" s="89"/>
      <c r="V19" s="89"/>
      <c r="W19" s="89"/>
      <c r="X19" s="90"/>
    </row>
    <row r="20" spans="1:24" ht="17.25" thickBot="1" x14ac:dyDescent="0.35">
      <c r="B20" t="str">
        <f t="shared" ref="B20:B25" si="1">MID("ABCDEFGHIJKLMNOPQRSTUVWXYZ",B12,1)</f>
        <v>A</v>
      </c>
      <c r="D20" s="177"/>
      <c r="E20" s="11">
        <v>150</v>
      </c>
      <c r="F20" s="45">
        <v>4.8999999999999998E-3</v>
      </c>
      <c r="G20" s="2"/>
      <c r="H20" s="182" t="s">
        <v>29</v>
      </c>
      <c r="I20" s="183"/>
      <c r="J20" s="184"/>
      <c r="K20" s="53">
        <f>K19</f>
        <v>24426.091502182997</v>
      </c>
      <c r="L20" s="22">
        <f>L19</f>
        <v>2.3220049999999999E-2</v>
      </c>
      <c r="M20" s="17" t="s">
        <v>17</v>
      </c>
      <c r="O20" s="41"/>
    </row>
    <row r="21" spans="1:24" ht="17.25" customHeight="1" thickTop="1" thickBot="1" x14ac:dyDescent="0.35">
      <c r="A21" s="35"/>
      <c r="B21" t="str">
        <f t="shared" si="1"/>
        <v>B</v>
      </c>
      <c r="D21" s="178"/>
      <c r="E21" s="12">
        <v>180</v>
      </c>
      <c r="F21" s="107">
        <v>5.7000000000000002E-3</v>
      </c>
      <c r="G21" s="2"/>
      <c r="H21" s="188" t="s">
        <v>30</v>
      </c>
      <c r="I21" s="189"/>
      <c r="J21" s="189"/>
      <c r="K21" s="55">
        <f>SUM(K18+K20)</f>
        <v>27174.776856182998</v>
      </c>
      <c r="L21" s="23">
        <f>K21/K24</f>
        <v>2.5833018650692378E-2</v>
      </c>
      <c r="M21" s="16"/>
      <c r="O21" s="41"/>
      <c r="P21" s="41" t="s">
        <v>93</v>
      </c>
      <c r="Q21" s="41"/>
      <c r="R21" s="41"/>
      <c r="S21" s="122">
        <f>F29*180/360</f>
        <v>1.9220049999999999E-2</v>
      </c>
    </row>
    <row r="22" spans="1:24" ht="17.25" thickBot="1" x14ac:dyDescent="0.35">
      <c r="B22" t="str">
        <f t="shared" si="1"/>
        <v>C</v>
      </c>
      <c r="F22" s="101" t="s">
        <v>74</v>
      </c>
      <c r="G22" s="2"/>
      <c r="O22" s="41"/>
      <c r="P22" s="41" t="s">
        <v>94</v>
      </c>
      <c r="Q22" s="41"/>
      <c r="R22" s="41"/>
      <c r="S22" s="122">
        <f>L6*180/360</f>
        <v>1.4999999999999998E-2</v>
      </c>
      <c r="T22" s="41"/>
      <c r="U22" s="41"/>
      <c r="V22" s="41"/>
      <c r="W22" s="41"/>
    </row>
    <row r="23" spans="1:24" ht="17.25" thickBot="1" x14ac:dyDescent="0.35">
      <c r="B23" t="str">
        <f t="shared" si="1"/>
        <v>D</v>
      </c>
      <c r="D23" s="49" t="s">
        <v>31</v>
      </c>
      <c r="E23" s="174" t="s">
        <v>59</v>
      </c>
      <c r="F23" s="175"/>
      <c r="G23" s="2"/>
      <c r="H23" s="152" t="s">
        <v>9</v>
      </c>
      <c r="I23" s="153"/>
      <c r="J23" s="153"/>
      <c r="K23" s="9" t="s">
        <v>10</v>
      </c>
      <c r="L23" s="36" t="s">
        <v>32</v>
      </c>
      <c r="M23" s="7" t="s">
        <v>12</v>
      </c>
      <c r="O23" s="41"/>
      <c r="P23" s="41" t="s">
        <v>91</v>
      </c>
      <c r="Q23" s="41"/>
      <c r="R23" s="41"/>
      <c r="S23" s="123">
        <f>L5</f>
        <v>1.7999999999999999E-2</v>
      </c>
      <c r="T23" s="41"/>
      <c r="U23" s="41"/>
      <c r="V23" s="41"/>
      <c r="W23" s="41"/>
    </row>
    <row r="24" spans="1:24" x14ac:dyDescent="0.3">
      <c r="B24" t="str">
        <f t="shared" si="1"/>
        <v>E</v>
      </c>
      <c r="D24" s="196">
        <f>Q11</f>
        <v>46255</v>
      </c>
      <c r="E24" s="10">
        <v>30</v>
      </c>
      <c r="F24" s="27">
        <f t="shared" ref="F24:F25" si="2">S11</f>
        <v>3.65872E-2</v>
      </c>
      <c r="G24" s="2"/>
      <c r="H24" s="199" t="s">
        <v>33</v>
      </c>
      <c r="I24" s="200"/>
      <c r="J24" s="200"/>
      <c r="K24" s="68">
        <f>K9+K25+K26</f>
        <v>1051939.6599999999</v>
      </c>
      <c r="L24" s="37">
        <f>K24/$K$24</f>
        <v>1</v>
      </c>
      <c r="M24" s="4" t="s">
        <v>34</v>
      </c>
      <c r="O24" s="41"/>
      <c r="P24" s="41" t="s">
        <v>92</v>
      </c>
      <c r="Q24" s="41"/>
      <c r="R24" s="41"/>
      <c r="S24" s="123">
        <f>S21+S22+S23</f>
        <v>5.222004999999999E-2</v>
      </c>
      <c r="T24" s="41"/>
      <c r="U24" s="41"/>
      <c r="V24" s="41"/>
      <c r="W24" s="41"/>
    </row>
    <row r="25" spans="1:24" ht="17.25" customHeight="1" x14ac:dyDescent="0.3">
      <c r="B25" t="str">
        <f t="shared" si="1"/>
        <v>F</v>
      </c>
      <c r="D25" s="197"/>
      <c r="E25" s="59">
        <v>60</v>
      </c>
      <c r="F25" s="45">
        <f t="shared" si="2"/>
        <v>3.7406399999999999E-2</v>
      </c>
      <c r="G25" s="2"/>
      <c r="H25" s="201" t="s">
        <v>61</v>
      </c>
      <c r="I25" s="202"/>
      <c r="J25" s="202"/>
      <c r="K25" s="69">
        <f>K9*L5</f>
        <v>18000</v>
      </c>
      <c r="L25" s="38">
        <f>K25/$K$24</f>
        <v>1.7111247616617101E-2</v>
      </c>
      <c r="M25" s="8"/>
      <c r="O25" s="41"/>
      <c r="P25" s="41"/>
      <c r="Q25" s="41"/>
      <c r="R25" s="41"/>
      <c r="S25" s="41"/>
      <c r="T25" s="41"/>
      <c r="U25" s="41"/>
      <c r="V25" s="41"/>
      <c r="W25" s="41"/>
    </row>
    <row r="26" spans="1:24" ht="17.25" customHeight="1" x14ac:dyDescent="0.3">
      <c r="D26" s="197"/>
      <c r="E26" s="11">
        <v>90</v>
      </c>
      <c r="F26" s="45">
        <f>S13</f>
        <v>3.7406399999999999E-2</v>
      </c>
      <c r="G26" s="2"/>
      <c r="H26" s="201" t="s">
        <v>62</v>
      </c>
      <c r="I26" s="202"/>
      <c r="J26" s="203"/>
      <c r="K26" s="69">
        <f>ROUND((K9+K25)*(S14+L6)*F8/360,2)</f>
        <v>33939.660000000003</v>
      </c>
      <c r="L26" s="38">
        <f>K26/$K$24</f>
        <v>3.2263884793544154E-2</v>
      </c>
      <c r="M26" s="8"/>
      <c r="O26" s="41"/>
      <c r="P26" s="41"/>
      <c r="Q26" s="41"/>
      <c r="R26" s="41"/>
      <c r="S26" s="41"/>
      <c r="T26" s="41"/>
      <c r="U26" s="41"/>
      <c r="V26" s="41"/>
      <c r="W26" s="41"/>
    </row>
    <row r="27" spans="1:24" x14ac:dyDescent="0.3">
      <c r="B27" t="str">
        <f>MID("ABCDEFGHIJKLMNOPQRSTUVWXYZ",B18,1)</f>
        <v>G</v>
      </c>
      <c r="D27" s="197"/>
      <c r="E27" s="11">
        <v>120</v>
      </c>
      <c r="F27" s="106">
        <f>S14</f>
        <v>3.6679099999999999E-2</v>
      </c>
      <c r="G27" s="2"/>
      <c r="H27" s="201" t="s">
        <v>35</v>
      </c>
      <c r="I27" s="202"/>
      <c r="J27" s="202"/>
      <c r="K27" s="69">
        <f>K25+K26-K18</f>
        <v>49190.974646000002</v>
      </c>
      <c r="L27" s="38">
        <f>K27/$K$24</f>
        <v>4.6762163759468872E-2</v>
      </c>
      <c r="M27" s="8" t="s">
        <v>36</v>
      </c>
      <c r="O27" s="41"/>
      <c r="P27" s="41"/>
      <c r="Q27" s="41"/>
      <c r="R27" s="41"/>
      <c r="S27" s="41"/>
      <c r="T27" s="41"/>
      <c r="U27" s="41"/>
      <c r="V27" s="41"/>
      <c r="W27" s="41"/>
    </row>
    <row r="28" spans="1:24" ht="17.25" thickBot="1" x14ac:dyDescent="0.35">
      <c r="D28" s="197"/>
      <c r="E28" s="11">
        <v>150</v>
      </c>
      <c r="F28" s="45">
        <f>S15</f>
        <v>3.6679099999999999E-2</v>
      </c>
      <c r="G28" s="2"/>
      <c r="H28" s="204" t="s">
        <v>37</v>
      </c>
      <c r="I28" s="205"/>
      <c r="J28" s="205"/>
      <c r="K28" s="70">
        <f>K25+K26-K21</f>
        <v>24764.883143817005</v>
      </c>
      <c r="L28" s="39">
        <f>K28/$K$24</f>
        <v>2.3542113759468873E-2</v>
      </c>
      <c r="M28" s="14" t="s">
        <v>72</v>
      </c>
      <c r="O28" s="41"/>
      <c r="P28" s="41"/>
      <c r="Q28" s="41"/>
      <c r="R28" s="41"/>
      <c r="S28" s="41"/>
      <c r="T28" s="41"/>
      <c r="U28" s="41"/>
      <c r="V28" s="41"/>
      <c r="W28" s="41"/>
    </row>
    <row r="29" spans="1:24" ht="17.25" thickBot="1" x14ac:dyDescent="0.35">
      <c r="B29" s="1" cm="1">
        <f t="array" aca="1" ref="B29" ca="1">COLUMN(INDIRECT(D16&amp;1))</f>
        <v>2</v>
      </c>
      <c r="D29" s="197"/>
      <c r="E29" s="11">
        <v>180</v>
      </c>
      <c r="F29" s="103">
        <f>S16</f>
        <v>3.8440099999999998E-2</v>
      </c>
      <c r="K29" s="42"/>
      <c r="O29" s="41"/>
      <c r="P29" s="76" t="s">
        <v>13</v>
      </c>
      <c r="Q29" s="41"/>
      <c r="R29" s="41"/>
      <c r="S29" s="41"/>
      <c r="T29" s="41"/>
      <c r="U29" s="41"/>
      <c r="V29" s="41"/>
      <c r="W29" s="41"/>
    </row>
    <row r="30" spans="1:24" ht="17.25" thickBot="1" x14ac:dyDescent="0.35">
      <c r="D30" s="198"/>
      <c r="E30" s="12">
        <v>360</v>
      </c>
      <c r="F30" s="96">
        <f>S17</f>
        <v>3.9883399999999999E-2</v>
      </c>
      <c r="H30" s="152" t="s">
        <v>12</v>
      </c>
      <c r="I30" s="153"/>
      <c r="J30" s="153"/>
      <c r="K30" s="153"/>
      <c r="L30" s="153"/>
      <c r="M30" s="206"/>
      <c r="O30" s="41"/>
      <c r="P30" s="71"/>
      <c r="Q30" s="72">
        <v>1</v>
      </c>
      <c r="R30" s="72">
        <v>2</v>
      </c>
      <c r="S30" s="72">
        <v>3</v>
      </c>
      <c r="T30" s="72">
        <v>4</v>
      </c>
      <c r="U30" s="72">
        <v>5</v>
      </c>
      <c r="V30" s="72">
        <v>6</v>
      </c>
      <c r="W30" s="72">
        <v>7</v>
      </c>
    </row>
    <row r="31" spans="1:24" ht="17.25" customHeight="1" thickBot="1" x14ac:dyDescent="0.35">
      <c r="B31" t="s">
        <v>7</v>
      </c>
      <c r="D31" s="58"/>
      <c r="E31" s="47"/>
      <c r="F31" s="47"/>
      <c r="H31" s="190">
        <f>1024000*(7.67%*(180/360))</f>
        <v>39270.400000000001</v>
      </c>
      <c r="I31" s="191"/>
      <c r="J31" s="191"/>
      <c r="K31" s="191"/>
      <c r="L31" s="191"/>
      <c r="M31" s="192"/>
      <c r="O31" s="41"/>
      <c r="P31" s="73">
        <v>30</v>
      </c>
      <c r="Q31" s="74">
        <v>1.9832463333333329E-3</v>
      </c>
      <c r="R31" s="74">
        <v>2.9267343333333326E-3</v>
      </c>
      <c r="S31" s="74">
        <v>3.5073423333333324E-3</v>
      </c>
      <c r="T31" s="74">
        <v>4.0879503333333331E-3</v>
      </c>
      <c r="U31" s="74">
        <v>4.6685583333333329E-3</v>
      </c>
      <c r="V31" s="74">
        <v>5.2491663333333327E-3</v>
      </c>
      <c r="W31" s="74">
        <v>6.7006863333333331E-3</v>
      </c>
    </row>
    <row r="32" spans="1:24" ht="17.25" thickBot="1" x14ac:dyDescent="0.35">
      <c r="B32" t="s">
        <v>48</v>
      </c>
      <c r="D32" s="49" t="s">
        <v>31</v>
      </c>
      <c r="E32" s="194" t="s">
        <v>58</v>
      </c>
      <c r="F32" s="195"/>
      <c r="H32" s="190"/>
      <c r="I32" s="191"/>
      <c r="J32" s="191"/>
      <c r="K32" s="191"/>
      <c r="L32" s="191"/>
      <c r="M32" s="192"/>
      <c r="O32" s="41"/>
      <c r="P32" s="73">
        <v>60</v>
      </c>
      <c r="Q32" s="74">
        <v>3.3740660000000002E-3</v>
      </c>
      <c r="R32" s="74">
        <v>4.5352819999999999E-3</v>
      </c>
      <c r="S32" s="74">
        <v>5.2610419999999996E-3</v>
      </c>
      <c r="T32" s="74">
        <v>5.9868019999999994E-3</v>
      </c>
      <c r="U32" s="74">
        <v>6.6399859999999996E-3</v>
      </c>
      <c r="V32" s="74">
        <v>7.3657459999999994E-3</v>
      </c>
      <c r="W32" s="75">
        <v>9.1801459999999984E-3</v>
      </c>
    </row>
    <row r="33" spans="2:23" ht="17.25" customHeight="1" thickBot="1" x14ac:dyDescent="0.35">
      <c r="B33" t="s">
        <v>38</v>
      </c>
      <c r="D33" s="61">
        <v>46099</v>
      </c>
      <c r="E33" s="66" t="s">
        <v>40</v>
      </c>
      <c r="F33" s="48" t="s">
        <v>7</v>
      </c>
      <c r="H33" s="190"/>
      <c r="I33" s="191"/>
      <c r="J33" s="191"/>
      <c r="K33" s="191"/>
      <c r="L33" s="191"/>
      <c r="M33" s="192"/>
      <c r="O33" s="41"/>
      <c r="P33" s="73">
        <v>90</v>
      </c>
      <c r="Q33" s="74">
        <v>4.5982189999999997E-3</v>
      </c>
      <c r="R33" s="74">
        <v>5.9771629999999997E-3</v>
      </c>
      <c r="S33" s="74">
        <v>6.8480749999999995E-3</v>
      </c>
      <c r="T33" s="74">
        <v>7.6464109999999997E-3</v>
      </c>
      <c r="U33" s="74">
        <v>8.5173230000000003E-3</v>
      </c>
      <c r="V33" s="74">
        <v>9.3156589999999987E-3</v>
      </c>
      <c r="W33" s="74">
        <v>1.1492939000000001E-2</v>
      </c>
    </row>
    <row r="34" spans="2:23" ht="17.25" thickBot="1" x14ac:dyDescent="0.35">
      <c r="B34" t="s">
        <v>39</v>
      </c>
      <c r="D34" s="62">
        <v>30</v>
      </c>
      <c r="E34" s="67">
        <f>$F$24+E52</f>
        <v>4.3087199999999999E-2</v>
      </c>
      <c r="F34" s="45">
        <f>$F$24+E46</f>
        <v>4.45872E-2</v>
      </c>
      <c r="H34" s="190"/>
      <c r="I34" s="191"/>
      <c r="J34" s="191"/>
      <c r="K34" s="191"/>
      <c r="L34" s="191"/>
      <c r="M34" s="192"/>
      <c r="O34" s="41"/>
      <c r="P34" s="73">
        <v>120</v>
      </c>
      <c r="Q34" s="74">
        <v>6.7565906666666661E-3</v>
      </c>
      <c r="R34" s="74">
        <v>8.4258386666666678E-3</v>
      </c>
      <c r="S34" s="74">
        <v>9.5144786666666661E-3</v>
      </c>
      <c r="T34" s="74">
        <v>1.0530542666666667E-2</v>
      </c>
      <c r="U34" s="74">
        <v>1.1546606666666666E-2</v>
      </c>
      <c r="V34" s="74">
        <v>1.256267066666667E-2</v>
      </c>
      <c r="W34" s="74">
        <v>1.5247982666666668E-2</v>
      </c>
    </row>
    <row r="35" spans="2:23" ht="17.25" thickBot="1" x14ac:dyDescent="0.35">
      <c r="D35" s="63">
        <v>60</v>
      </c>
      <c r="E35" s="56">
        <f>$F$25+E53</f>
        <v>4.4906399999999999E-2</v>
      </c>
      <c r="F35" s="45">
        <f>$F$25+E47</f>
        <v>4.54064E-2</v>
      </c>
      <c r="H35" s="190"/>
      <c r="I35" s="191"/>
      <c r="J35" s="191"/>
      <c r="K35" s="191"/>
      <c r="L35" s="191"/>
      <c r="M35" s="192"/>
      <c r="O35" s="41"/>
      <c r="P35" s="73">
        <v>180</v>
      </c>
      <c r="Q35" s="74">
        <v>9.8171579999999977E-3</v>
      </c>
      <c r="R35" s="74">
        <v>1.213959E-2</v>
      </c>
      <c r="S35" s="74">
        <v>1.3591109999999998E-2</v>
      </c>
      <c r="T35" s="74">
        <v>1.4970054000000002E-2</v>
      </c>
      <c r="U35" s="74">
        <v>1.6421573999999998E-2</v>
      </c>
      <c r="V35" s="74">
        <v>1.7800517999999998E-2</v>
      </c>
      <c r="W35" s="75">
        <v>2.1574470000000002E-2</v>
      </c>
    </row>
    <row r="36" spans="2:23" x14ac:dyDescent="0.3">
      <c r="D36" s="64">
        <v>90</v>
      </c>
      <c r="E36" s="56">
        <f>$F$26+E53</f>
        <v>4.4906399999999999E-2</v>
      </c>
      <c r="F36" s="25">
        <f>$F$26+E47</f>
        <v>4.54064E-2</v>
      </c>
      <c r="H36" s="190"/>
      <c r="I36" s="191"/>
      <c r="J36" s="191"/>
      <c r="K36" s="191"/>
      <c r="L36" s="191"/>
      <c r="M36" s="192"/>
      <c r="O36" s="41"/>
      <c r="P36" s="41"/>
      <c r="Q36" s="41"/>
      <c r="R36" s="41"/>
      <c r="S36" s="41"/>
      <c r="T36" s="41"/>
      <c r="U36" s="41"/>
      <c r="V36" s="41"/>
      <c r="W36" s="41"/>
    </row>
    <row r="37" spans="2:23" x14ac:dyDescent="0.3">
      <c r="D37" s="64">
        <v>120</v>
      </c>
      <c r="E37" s="56">
        <f>$F$27+E54</f>
        <v>4.4679099999999999E-2</v>
      </c>
      <c r="F37" s="105">
        <f>$F$27+E48</f>
        <v>4.4679099999999999E-2</v>
      </c>
      <c r="H37" s="190"/>
      <c r="I37" s="191"/>
      <c r="J37" s="191"/>
      <c r="K37" s="191"/>
      <c r="L37" s="191"/>
      <c r="M37" s="192"/>
      <c r="O37" s="41"/>
      <c r="P37" s="41"/>
      <c r="Q37" s="41"/>
      <c r="R37" s="41"/>
      <c r="S37" s="41"/>
      <c r="T37" s="41"/>
      <c r="U37" s="41"/>
      <c r="V37" s="41"/>
      <c r="W37" s="41"/>
    </row>
    <row r="38" spans="2:23" x14ac:dyDescent="0.3">
      <c r="D38" s="64">
        <v>150</v>
      </c>
      <c r="E38" s="56">
        <f>$F$28+E54</f>
        <v>4.4679099999999999E-2</v>
      </c>
      <c r="F38" s="25">
        <f>$F$28+E48</f>
        <v>4.4679099999999999E-2</v>
      </c>
      <c r="H38" s="190"/>
      <c r="I38" s="191"/>
      <c r="J38" s="191"/>
      <c r="K38" s="191"/>
      <c r="L38" s="191"/>
      <c r="M38" s="192"/>
      <c r="O38" s="41"/>
      <c r="P38" s="41"/>
      <c r="Q38" s="41"/>
      <c r="R38" s="41"/>
      <c r="S38" s="41"/>
      <c r="T38" s="41"/>
      <c r="U38" s="41"/>
      <c r="V38" s="41"/>
      <c r="W38" s="41"/>
    </row>
    <row r="39" spans="2:23" x14ac:dyDescent="0.3">
      <c r="D39" s="64">
        <v>180</v>
      </c>
      <c r="E39" s="56">
        <f>$F$29+E54</f>
        <v>4.6440099999999998E-2</v>
      </c>
      <c r="F39" s="102">
        <f>$F$29+E48</f>
        <v>4.6440099999999998E-2</v>
      </c>
      <c r="H39" s="190"/>
      <c r="I39" s="191"/>
      <c r="J39" s="191"/>
      <c r="K39" s="191"/>
      <c r="L39" s="191"/>
      <c r="M39" s="192"/>
      <c r="O39" s="41"/>
      <c r="P39" s="41">
        <v>1.85</v>
      </c>
      <c r="Q39" s="41">
        <v>1.75</v>
      </c>
      <c r="R39" s="41"/>
      <c r="S39" s="41"/>
      <c r="T39" s="41"/>
      <c r="U39" s="41"/>
      <c r="V39" s="41"/>
      <c r="W39" s="41"/>
    </row>
    <row r="40" spans="2:23" ht="17.25" thickBot="1" x14ac:dyDescent="0.35">
      <c r="D40" s="65">
        <v>360</v>
      </c>
      <c r="E40" s="57">
        <f>$F$30+E55</f>
        <v>5.2383399999999997E-2</v>
      </c>
      <c r="F40" s="13">
        <f>$F$30+E49</f>
        <v>4.78834E-2</v>
      </c>
      <c r="H40" s="172"/>
      <c r="I40" s="173"/>
      <c r="J40" s="173"/>
      <c r="K40" s="173"/>
      <c r="L40" s="173"/>
      <c r="M40" s="193"/>
      <c r="O40" s="41"/>
      <c r="P40" s="41">
        <f>4.21496+2.9</f>
        <v>7.11496</v>
      </c>
      <c r="Q40" s="41">
        <f>4.21496+2.9</f>
        <v>7.11496</v>
      </c>
      <c r="R40" s="41"/>
      <c r="S40" s="41"/>
      <c r="T40" s="41"/>
      <c r="U40" s="41"/>
      <c r="V40" s="41"/>
      <c r="W40" s="41"/>
    </row>
    <row r="41" spans="2:23" x14ac:dyDescent="0.3">
      <c r="D41" s="58"/>
      <c r="F41" s="47"/>
      <c r="M41"/>
      <c r="O41" s="41"/>
      <c r="P41" s="41">
        <f>SUM(P39+P40)</f>
        <v>8.9649599999999996</v>
      </c>
      <c r="Q41" s="41">
        <f>SUM(Q39+Q40)</f>
        <v>8.86496</v>
      </c>
      <c r="R41" s="41"/>
      <c r="S41" s="41"/>
      <c r="T41" s="41"/>
      <c r="U41" s="41"/>
      <c r="V41" s="41"/>
      <c r="W41" s="41"/>
    </row>
    <row r="42" spans="2:23" x14ac:dyDescent="0.3">
      <c r="P42">
        <f>P41*4</f>
        <v>35.859839999999998</v>
      </c>
      <c r="Q42">
        <f>Q41*4</f>
        <v>35.45984</v>
      </c>
    </row>
    <row r="43" spans="2:23" x14ac:dyDescent="0.3">
      <c r="D43" t="s">
        <v>41</v>
      </c>
    </row>
    <row r="44" spans="2:23" x14ac:dyDescent="0.3">
      <c r="D44" t="s">
        <v>42</v>
      </c>
    </row>
    <row r="45" spans="2:23" x14ac:dyDescent="0.3">
      <c r="D45" t="s">
        <v>43</v>
      </c>
    </row>
    <row r="46" spans="2:23" x14ac:dyDescent="0.3">
      <c r="D46" s="24" t="s">
        <v>44</v>
      </c>
      <c r="E46" s="24">
        <v>8.0000000000000002E-3</v>
      </c>
      <c r="F46" s="60"/>
    </row>
    <row r="47" spans="2:23" x14ac:dyDescent="0.3">
      <c r="D47" s="24" t="s">
        <v>45</v>
      </c>
      <c r="E47" s="24">
        <v>8.0000000000000002E-3</v>
      </c>
    </row>
    <row r="48" spans="2:23" x14ac:dyDescent="0.3">
      <c r="D48" s="24" t="s">
        <v>46</v>
      </c>
      <c r="E48" s="24">
        <v>8.0000000000000002E-3</v>
      </c>
    </row>
    <row r="49" spans="4:5" x14ac:dyDescent="0.3">
      <c r="D49" s="24" t="s">
        <v>47</v>
      </c>
      <c r="E49" s="24">
        <v>8.0000000000000002E-3</v>
      </c>
    </row>
    <row r="51" spans="4:5" x14ac:dyDescent="0.3">
      <c r="D51" t="s">
        <v>50</v>
      </c>
    </row>
    <row r="52" spans="4:5" x14ac:dyDescent="0.3">
      <c r="D52" s="24" t="s">
        <v>44</v>
      </c>
      <c r="E52" s="24">
        <v>6.4999999999999997E-3</v>
      </c>
    </row>
    <row r="53" spans="4:5" x14ac:dyDescent="0.3">
      <c r="D53" s="24" t="s">
        <v>45</v>
      </c>
      <c r="E53" s="24">
        <v>7.4999999999999997E-3</v>
      </c>
    </row>
    <row r="54" spans="4:5" x14ac:dyDescent="0.3">
      <c r="D54" s="24" t="s">
        <v>46</v>
      </c>
      <c r="E54" s="24">
        <v>8.0000000000000002E-3</v>
      </c>
    </row>
    <row r="55" spans="4:5" x14ac:dyDescent="0.3">
      <c r="D55" s="24" t="s">
        <v>47</v>
      </c>
      <c r="E55" s="24">
        <v>1.2500000000000001E-2</v>
      </c>
    </row>
  </sheetData>
  <sheetProtection selectLockedCells="1" selectUnlockedCells="1"/>
  <mergeCells count="55">
    <mergeCell ref="D10:D13"/>
    <mergeCell ref="E10:F10"/>
    <mergeCell ref="H10:J10"/>
    <mergeCell ref="H31:M40"/>
    <mergeCell ref="E32:F32"/>
    <mergeCell ref="E23:F23"/>
    <mergeCell ref="H23:J23"/>
    <mergeCell ref="D24:D30"/>
    <mergeCell ref="H24:J24"/>
    <mergeCell ref="H25:J25"/>
    <mergeCell ref="H26:J26"/>
    <mergeCell ref="H27:J27"/>
    <mergeCell ref="H28:J28"/>
    <mergeCell ref="H30:M30"/>
    <mergeCell ref="E15:F15"/>
    <mergeCell ref="H15:J15"/>
    <mergeCell ref="D16:D21"/>
    <mergeCell ref="H16:J16"/>
    <mergeCell ref="H17:J17"/>
    <mergeCell ref="H18:J18"/>
    <mergeCell ref="H19:J19"/>
    <mergeCell ref="H20:J20"/>
    <mergeCell ref="H21:J21"/>
    <mergeCell ref="H9:J9"/>
    <mergeCell ref="Q9:S9"/>
    <mergeCell ref="P10:P17"/>
    <mergeCell ref="U10:X10"/>
    <mergeCell ref="H11:J11"/>
    <mergeCell ref="Q11:Q17"/>
    <mergeCell ref="U11:W11"/>
    <mergeCell ref="H12:J12"/>
    <mergeCell ref="U12:W12"/>
    <mergeCell ref="H13:J13"/>
    <mergeCell ref="R6:S6"/>
    <mergeCell ref="W6:X6"/>
    <mergeCell ref="R7:S7"/>
    <mergeCell ref="W7:X7"/>
    <mergeCell ref="H8:J8"/>
    <mergeCell ref="R8:S8"/>
    <mergeCell ref="D2:M2"/>
    <mergeCell ref="P2:X2"/>
    <mergeCell ref="D4:D8"/>
    <mergeCell ref="E4:F4"/>
    <mergeCell ref="I4:M4"/>
    <mergeCell ref="P4:P8"/>
    <mergeCell ref="Q4:S4"/>
    <mergeCell ref="U4:U7"/>
    <mergeCell ref="V4:X4"/>
    <mergeCell ref="H5:H6"/>
    <mergeCell ref="I5:K5"/>
    <mergeCell ref="L5:M5"/>
    <mergeCell ref="R5:S5"/>
    <mergeCell ref="W5:X5"/>
    <mergeCell ref="I6:K6"/>
    <mergeCell ref="L6:M6"/>
  </mergeCells>
  <phoneticPr fontId="1" type="noConversion"/>
  <conditionalFormatting sqref="K27:K28">
    <cfRule type="cellIs" dxfId="0" priority="1" operator="lessThan">
      <formula>0</formula>
    </cfRule>
  </conditionalFormatting>
  <dataValidations count="5">
    <dataValidation type="list" allowBlank="1" showInputMessage="1" showErrorMessage="1" sqref="C14:C19" xr:uid="{89804A7C-3EB3-44F8-9645-11E700CB3818}">
      <formula1>$B$13:$B$19</formula1>
    </dataValidation>
    <dataValidation type="list" allowBlank="1" showInputMessage="1" showErrorMessage="1" sqref="A12:A19" xr:uid="{EEDEBFBF-7CAE-48D5-92BA-65296F78783D}">
      <formula1>$A$13:$A$19</formula1>
    </dataValidation>
    <dataValidation type="list" allowBlank="1" showInputMessage="1" showErrorMessage="1" sqref="W7" xr:uid="{19DC997D-69D0-4B4B-82FC-BD50E79E9105}">
      <formula1>$B$5:$B$11</formula1>
    </dataValidation>
    <dataValidation type="list" allowBlank="1" showInputMessage="1" showErrorMessage="1" sqref="R8" xr:uid="{FFBB3311-A791-49E0-84FC-6A1AAB592159}">
      <formula1>$B$6:$B$11</formula1>
    </dataValidation>
    <dataValidation type="list" allowBlank="1" showInputMessage="1" showErrorMessage="1" sqref="R7 B33:B41 B31 W6" xr:uid="{08F08101-FCFC-4D2C-8DC4-3CB3FF83C488}">
      <formula1>$B$31:$B$34</formula1>
    </dataValidation>
  </dataValidations>
  <pageMargins left="0.25" right="0.25" top="0.75" bottom="0.75" header="0.3" footer="0.3"/>
  <pageSetup paperSize="9"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79E6-52B4-47A8-B489-E27735DEA797}">
  <dimension ref="B4:P24"/>
  <sheetViews>
    <sheetView workbookViewId="0">
      <selection activeCell="K27" sqref="K27"/>
    </sheetView>
  </sheetViews>
  <sheetFormatPr defaultRowHeight="16.5" x14ac:dyDescent="0.3"/>
  <cols>
    <col min="3" max="3" width="13.5" bestFit="1" customWidth="1"/>
  </cols>
  <sheetData>
    <row r="4" spans="2:16" x14ac:dyDescent="0.3">
      <c r="F4" t="s">
        <v>85</v>
      </c>
      <c r="H4">
        <f>(F8-$C$8)*$C$9/360+G8</f>
        <v>2.1</v>
      </c>
    </row>
    <row r="5" spans="2:16" x14ac:dyDescent="0.3">
      <c r="F5" t="s">
        <v>86</v>
      </c>
    </row>
    <row r="7" spans="2:16" x14ac:dyDescent="0.3">
      <c r="F7" t="s">
        <v>87</v>
      </c>
      <c r="G7" t="s">
        <v>78</v>
      </c>
      <c r="H7" t="s">
        <v>37</v>
      </c>
    </row>
    <row r="8" spans="2:16" x14ac:dyDescent="0.3">
      <c r="B8" t="s">
        <v>88</v>
      </c>
      <c r="C8">
        <v>0.8</v>
      </c>
      <c r="F8">
        <v>3</v>
      </c>
      <c r="G8">
        <v>1</v>
      </c>
      <c r="H8">
        <f>(F8-$C$8)*$C$9/360+G8</f>
        <v>2.1</v>
      </c>
    </row>
    <row r="9" spans="2:16" x14ac:dyDescent="0.3">
      <c r="B9" t="s">
        <v>89</v>
      </c>
      <c r="C9">
        <v>180</v>
      </c>
      <c r="F9">
        <v>2.8</v>
      </c>
      <c r="G9">
        <v>1</v>
      </c>
      <c r="H9">
        <f t="shared" ref="H9:H11" si="0">(F9-$C$8)*$C$9/360+G9</f>
        <v>2</v>
      </c>
    </row>
    <row r="10" spans="2:16" x14ac:dyDescent="0.3">
      <c r="F10">
        <v>2</v>
      </c>
      <c r="G10">
        <v>1.5</v>
      </c>
      <c r="H10">
        <f t="shared" si="0"/>
        <v>2.1</v>
      </c>
      <c r="P10">
        <f>6115/1000000</f>
        <v>6.1149999999999998E-3</v>
      </c>
    </row>
    <row r="11" spans="2:16" x14ac:dyDescent="0.3">
      <c r="F11">
        <v>4</v>
      </c>
      <c r="G11">
        <v>0.5</v>
      </c>
      <c r="H11">
        <f t="shared" si="0"/>
        <v>2.1</v>
      </c>
      <c r="P11">
        <f>(33687-24549)/1000000</f>
        <v>9.1380000000000003E-3</v>
      </c>
    </row>
    <row r="14" spans="2:16" x14ac:dyDescent="0.3">
      <c r="P14">
        <v>104.25</v>
      </c>
    </row>
    <row r="15" spans="2:16" ht="17.25" thickBot="1" x14ac:dyDescent="0.35">
      <c r="P15">
        <f>P14*2.25%</f>
        <v>2.3456250000000001</v>
      </c>
    </row>
    <row r="16" spans="2:16" ht="17.25" thickBot="1" x14ac:dyDescent="0.35">
      <c r="C16" s="124"/>
      <c r="D16" s="216" t="s">
        <v>118</v>
      </c>
      <c r="E16" s="217"/>
      <c r="F16" s="218"/>
      <c r="G16" s="216" t="s">
        <v>117</v>
      </c>
      <c r="H16" s="217"/>
      <c r="I16" s="219"/>
      <c r="P16">
        <f>P14-P15</f>
        <v>101.904375</v>
      </c>
    </row>
    <row r="17" spans="3:16" ht="17.25" thickBot="1" x14ac:dyDescent="0.35">
      <c r="C17" s="125" t="s">
        <v>111</v>
      </c>
      <c r="D17" s="208" t="s">
        <v>110</v>
      </c>
      <c r="E17" s="209"/>
      <c r="F17" s="210"/>
      <c r="G17" s="208" t="s">
        <v>109</v>
      </c>
      <c r="H17" s="209"/>
      <c r="I17" s="211"/>
      <c r="P17">
        <v>100</v>
      </c>
    </row>
    <row r="18" spans="3:16" ht="33" customHeight="1" thickBot="1" x14ac:dyDescent="0.35">
      <c r="C18" s="125" t="s">
        <v>113</v>
      </c>
      <c r="D18" s="208" t="s">
        <v>106</v>
      </c>
      <c r="E18" s="209"/>
      <c r="F18" s="210"/>
      <c r="G18" s="208" t="s">
        <v>119</v>
      </c>
      <c r="H18" s="209"/>
      <c r="I18" s="211"/>
      <c r="P18">
        <f>P16-P17</f>
        <v>1.9043750000000017</v>
      </c>
    </row>
    <row r="19" spans="3:16" ht="17.25" thickBot="1" x14ac:dyDescent="0.35">
      <c r="C19" s="125" t="s">
        <v>112</v>
      </c>
      <c r="D19" s="208" t="s">
        <v>116</v>
      </c>
      <c r="E19" s="209"/>
      <c r="F19" s="210"/>
      <c r="G19" s="208" t="s">
        <v>116</v>
      </c>
      <c r="H19" s="209"/>
      <c r="I19" s="211"/>
      <c r="P19">
        <f>P18/P14</f>
        <v>1.8267386091127116E-2</v>
      </c>
    </row>
    <row r="20" spans="3:16" ht="17.25" thickBot="1" x14ac:dyDescent="0.35">
      <c r="C20" s="125" t="s">
        <v>114</v>
      </c>
      <c r="D20" s="208" t="s">
        <v>105</v>
      </c>
      <c r="E20" s="209"/>
      <c r="F20" s="210"/>
      <c r="G20" s="208" t="s">
        <v>108</v>
      </c>
      <c r="H20" s="209"/>
      <c r="I20" s="211"/>
    </row>
    <row r="21" spans="3:16" ht="17.25" hidden="1" thickBot="1" x14ac:dyDescent="0.35">
      <c r="C21" s="125" t="s">
        <v>98</v>
      </c>
      <c r="D21" s="208" t="s">
        <v>99</v>
      </c>
      <c r="E21" s="209"/>
      <c r="F21" s="210"/>
      <c r="G21" s="208" t="s">
        <v>100</v>
      </c>
      <c r="H21" s="209"/>
      <c r="I21" s="211"/>
    </row>
    <row r="22" spans="3:16" ht="17.25" thickBot="1" x14ac:dyDescent="0.35">
      <c r="C22" s="125" t="s">
        <v>115</v>
      </c>
      <c r="D22" s="208" t="s">
        <v>107</v>
      </c>
      <c r="E22" s="209"/>
      <c r="F22" s="210"/>
      <c r="G22" s="208" t="s">
        <v>107</v>
      </c>
      <c r="H22" s="209"/>
      <c r="I22" s="211"/>
    </row>
    <row r="23" spans="3:16" ht="17.25" hidden="1" customHeight="1" thickBot="1" x14ac:dyDescent="0.35">
      <c r="C23" s="125" t="s">
        <v>101</v>
      </c>
      <c r="D23" s="208" t="s">
        <v>102</v>
      </c>
      <c r="E23" s="209"/>
      <c r="F23" s="210"/>
      <c r="G23" s="208" t="s">
        <v>102</v>
      </c>
      <c r="H23" s="209"/>
      <c r="I23" s="211"/>
      <c r="K23">
        <v>1063259.7</v>
      </c>
    </row>
    <row r="24" spans="3:16" ht="17.25" hidden="1" thickBot="1" x14ac:dyDescent="0.35">
      <c r="C24" s="126" t="s">
        <v>103</v>
      </c>
      <c r="D24" s="212" t="s">
        <v>104</v>
      </c>
      <c r="E24" s="213"/>
      <c r="F24" s="214"/>
      <c r="G24" s="212" t="s">
        <v>104</v>
      </c>
      <c r="H24" s="213"/>
      <c r="I24" s="215"/>
    </row>
  </sheetData>
  <mergeCells count="18">
    <mergeCell ref="D16:F16"/>
    <mergeCell ref="G16:I16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D22:F22"/>
    <mergeCell ref="G22:I22"/>
    <mergeCell ref="D23:F23"/>
    <mergeCell ref="G23:I23"/>
    <mergeCell ref="D24:F24"/>
    <mergeCell ref="G24:I24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6A08E9A438E7C40ABC5F15222494569" ma:contentTypeVersion="4" ma:contentTypeDescription="새 문서를 만듭니다." ma:contentTypeScope="" ma:versionID="0af5b566e42504d9147071a3a971108d">
  <xsd:schema xmlns:xsd="http://www.w3.org/2001/XMLSchema" xmlns:xs="http://www.w3.org/2001/XMLSchema" xmlns:p="http://schemas.microsoft.com/office/2006/metadata/properties" xmlns:ns2="1726b49a-efac-4385-ab90-b999905bf5d0" targetNamespace="http://schemas.microsoft.com/office/2006/metadata/properties" ma:root="true" ma:fieldsID="dcce541abac83ddebf63f97a7b941e3b" ns2:_="">
    <xsd:import namespace="1726b49a-efac-4385-ab90-b999905bf5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26b49a-efac-4385-ab90-b999905bf5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6E9E07-4B4D-458B-841D-91D82FEAB72B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1726b49a-efac-4385-ab90-b999905bf5d0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3AA2100-A3D0-446D-81E5-48D4441F11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B436DA-7D79-48D2-BABE-BA25A02815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26b49a-efac-4385-ab90-b999905bf5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5</vt:i4>
      </vt:variant>
    </vt:vector>
  </HeadingPairs>
  <TitlesOfParts>
    <vt:vector size="11" baseType="lpstr">
      <vt:lpstr>120일</vt:lpstr>
      <vt:lpstr>150일</vt:lpstr>
      <vt:lpstr>180일</vt:lpstr>
      <vt:lpstr>인하 테이블</vt:lpstr>
      <vt:lpstr>연구용</vt:lpstr>
      <vt:lpstr>Sheet1</vt:lpstr>
      <vt:lpstr>'120일'!Print_Area</vt:lpstr>
      <vt:lpstr>'150일'!Print_Area</vt:lpstr>
      <vt:lpstr>'180일'!Print_Area</vt:lpstr>
      <vt:lpstr>연구용!Print_Area</vt:lpstr>
      <vt:lpstr>'인하 테이블'!Print_Area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 Yoonseong</dc:creator>
  <cp:keywords/>
  <dc:description/>
  <cp:lastModifiedBy>웨이항 - Wai Hang To</cp:lastModifiedBy>
  <cp:revision/>
  <cp:lastPrinted>2026-03-20T01:55:20Z</cp:lastPrinted>
  <dcterms:created xsi:type="dcterms:W3CDTF">2022-01-19T23:01:32Z</dcterms:created>
  <dcterms:modified xsi:type="dcterms:W3CDTF">2026-08-24T08:17:40Z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0x01010006A08E9A438E7C40ABC5F15222494569</vt:lpwstr>
  </property>
</Properties>
</file>